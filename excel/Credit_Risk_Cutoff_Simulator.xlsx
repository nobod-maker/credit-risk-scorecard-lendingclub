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_Simulator" sheetId="1" state="visible" r:id="rId1"/>
    <sheet xmlns:r="http://schemas.openxmlformats.org/officeDocument/2006/relationships" name="Risk_Grade_Breakdown" sheetId="2" state="visible" r:id="rId2"/>
    <sheet xmlns:r="http://schemas.openxmlformats.org/officeDocument/2006/relationships" name="Borrower_Scored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595959"/>
      <sz val="9"/>
    </font>
    <font>
      <name val="Calibri"/>
      <b val="1"/>
      <color rgb="001F4E79"/>
      <sz val="16"/>
    </font>
    <font>
      <name val="Calibri"/>
      <i val="1"/>
      <sz val="10"/>
    </font>
    <font>
      <name val="Calibri"/>
      <sz val="10"/>
    </font>
    <font>
      <name val="Calibri"/>
      <b val="1"/>
      <color rgb="002E7D32"/>
      <sz val="11"/>
    </font>
    <font>
      <name val="Calibri"/>
      <b val="1"/>
      <color rgb="00C62828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9EEF4"/>
        <bgColor rgb="00E9EEF4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5" fillId="0" borderId="1" pivotButton="0" quotePrefix="0" xfId="0"/>
    <xf numFmtId="164" fontId="6" fillId="0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6" fillId="3" borderId="1" pivotButton="0" quotePrefix="0" xfId="0"/>
    <xf numFmtId="1" fontId="6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0" fontId="6" fillId="5" borderId="2" applyAlignment="1" pivotButton="0" quotePrefix="0" xfId="0">
      <alignment horizontal="center"/>
    </xf>
    <xf numFmtId="0" fontId="6" fillId="5" borderId="2" pivotButton="0" quotePrefix="0" xfId="0"/>
    <xf numFmtId="3" fontId="6" fillId="5" borderId="2" pivotButton="0" quotePrefix="0" xfId="0"/>
    <xf numFmtId="165" fontId="6" fillId="5" borderId="2" pivotButton="0" quotePrefix="0" xfId="0"/>
    <xf numFmtId="164" fontId="6" fillId="5" borderId="2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4" fontId="6" fillId="0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164" fontId="6" fillId="3" borderId="1" pivotButton="0" quotePrefix="0" xfId="0"/>
    <xf numFmtId="0" fontId="0" fillId="3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6" fontId="0" fillId="0" borderId="1" pivotButton="0" quotePrefix="0" xfId="0"/>
    <xf numFmtId="0" fontId="11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Cut-Off Score vs. Approval Rate and Net Profit</a:t>
            </a:r>
          </a:p>
        </rich>
      </tx>
    </title>
    <plotArea>
      <lineChart>
        <grouping val="standard"/>
        <ser>
          <idx val="0"/>
          <order val="0"/>
          <tx>
            <strRef>
              <f>'Cutoff_Simulator'!G29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'Cutoff_Simulator'!$A$30:$A$41</f>
            </numRef>
          </cat>
          <val>
            <numRef>
              <f>'Cutoff_Simulator'!$G$30:$G$41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Cut-Off Score Threshold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Expected 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47" customWidth="1" min="2" max="2"/>
    <col width="18" customWidth="1" min="3" max="3"/>
    <col width="26" customWidth="1" min="4" max="4"/>
    <col width="28" customWidth="1" min="5" max="5"/>
    <col width="36" customWidth="1" min="6" max="6"/>
    <col width="27" customWidth="1" min="7" max="7"/>
    <col width="44" customWidth="1" min="8" max="8"/>
    <col width="25" customWidth="1" min="9" max="9"/>
    <col width="25" customWidth="1" min="10" max="10"/>
    <col width="21" customWidth="1" min="11" max="11"/>
    <col width="25" customWidth="1" min="12" max="12"/>
    <col width="23" customWidth="1" min="13" max="13"/>
    <col width="21" customWidth="1" min="14" max="14"/>
    <col width="26" customWidth="1" min="15" max="15"/>
  </cols>
  <sheetData>
    <row r="1">
      <c r="A1" s="1" t="inlineStr">
        <is>
          <t>CREDIT RISK SCORECARD &amp; PROFIT CUT-OFF SIMULATOR</t>
        </is>
      </c>
    </row>
    <row r="2">
      <c r="A2" s="2" t="inlineStr">
        <is>
          <t>Interactive Portfolio Underwriting Optimization, Capital Allocation &amp; Expected Loss Model</t>
        </is>
      </c>
    </row>
    <row r="3"/>
    <row r="4">
      <c r="A4" s="3" t="inlineStr">
        <is>
          <t>UNDERWRITING &amp; MARGIN ASSUMPTIONS</t>
        </is>
      </c>
      <c r="D4" s="3" t="inlineStr">
        <is>
          <t>SIMULATED PORTFOLIO PERFORMANCE @ ACTIVE CUT-OFF</t>
        </is>
      </c>
    </row>
    <row r="5">
      <c r="A5" s="4" t="inlineStr">
        <is>
          <t>Parameter Name</t>
        </is>
      </c>
      <c r="B5" s="5" t="inlineStr">
        <is>
          <t>Baseline Assumption</t>
        </is>
      </c>
      <c r="D5" s="6" t="inlineStr">
        <is>
          <t>PORTFOLIO APPROVAL RATE</t>
        </is>
      </c>
      <c r="F5" s="6" t="inlineStr">
        <is>
          <t>APPROVED BAD RATE</t>
        </is>
      </c>
      <c r="G5" s="6" t="inlineStr">
        <is>
          <t>TOTAL FUNDED VOLUME</t>
        </is>
      </c>
      <c r="H5" s="6" t="inlineStr">
        <is>
          <t>NET EXPECTED PROFIT</t>
        </is>
      </c>
    </row>
    <row r="6">
      <c r="A6" s="7" t="inlineStr">
        <is>
          <t>Average Loan Amount ($)</t>
        </is>
      </c>
      <c r="B6" s="8" t="n">
        <v>12500</v>
      </c>
      <c r="D6" s="9">
        <f>I25</f>
        <v/>
      </c>
      <c r="F6" s="9">
        <f>L25</f>
        <v/>
      </c>
      <c r="G6" s="10">
        <f>G25*$B$6</f>
        <v/>
      </c>
      <c r="H6" s="10">
        <f>O25</f>
        <v/>
      </c>
    </row>
    <row r="7">
      <c r="A7" s="7" t="inlineStr">
        <is>
          <t>Net Interest Margin (over COF %)</t>
        </is>
      </c>
      <c r="B7" s="11" t="n">
        <v>0.08500000000000001</v>
      </c>
    </row>
    <row r="8">
      <c r="A8" s="7" t="inlineStr">
        <is>
          <t>Loss Given Default (LGD %)</t>
        </is>
      </c>
      <c r="B8" s="11" t="n">
        <v>0.6</v>
      </c>
    </row>
    <row r="9">
      <c r="A9" s="7" t="inlineStr">
        <is>
          <t>Applicant Portfolio Volume</t>
        </is>
      </c>
      <c r="B9" s="12" t="n">
        <v>10000</v>
      </c>
    </row>
    <row r="10">
      <c r="A10" s="13" t="inlineStr">
        <is>
          <t>Active Cut-Off Score Threshold</t>
        </is>
      </c>
      <c r="B10" s="14" t="n">
        <v>640</v>
      </c>
    </row>
    <row r="11"/>
    <row r="12">
      <c r="A12" s="3" t="inlineStr">
        <is>
          <t>SCORE BAND SIMULATION ENGINE</t>
        </is>
      </c>
    </row>
    <row r="13">
      <c r="A13" s="15" t="inlineStr">
        <is>
          <t>Score Band</t>
        </is>
      </c>
      <c r="B13" s="16" t="inlineStr">
        <is>
          <t>Min Score</t>
        </is>
      </c>
      <c r="C13" s="16" t="inlineStr">
        <is>
          <t>Max Score</t>
        </is>
      </c>
      <c r="D13" s="16" t="inlineStr">
        <is>
          <t>Applicants (Ni)</t>
        </is>
      </c>
      <c r="E13" s="16" t="inlineStr">
        <is>
          <t>Share %</t>
        </is>
      </c>
      <c r="F13" s="16" t="inlineStr">
        <is>
          <t>Historical Bad %</t>
        </is>
      </c>
      <c r="G13" s="16" t="inlineStr">
        <is>
          <t>Approved Loans</t>
        </is>
      </c>
      <c r="H13" s="16" t="inlineStr">
        <is>
          <t>Declined Loans</t>
        </is>
      </c>
      <c r="I13" s="16" t="inlineStr">
        <is>
          <t>Approval Rate %</t>
        </is>
      </c>
      <c r="J13" s="16" t="inlineStr">
        <is>
          <t>Approved Good Loans</t>
        </is>
      </c>
      <c r="K13" s="16" t="inlineStr">
        <is>
          <t>Approved Bad Loans</t>
        </is>
      </c>
      <c r="L13" s="16" t="inlineStr">
        <is>
          <t>Portfolio Bad %</t>
        </is>
      </c>
      <c r="M13" s="16" t="inlineStr">
        <is>
          <t>Interest Revenue ($)</t>
        </is>
      </c>
      <c r="N13" s="16" t="inlineStr">
        <is>
          <t>Default Losses ($)</t>
        </is>
      </c>
      <c r="O13" s="16" t="inlineStr">
        <is>
          <t>Net Expected Profit ($)</t>
        </is>
      </c>
    </row>
    <row r="14">
      <c r="A14" s="17" t="inlineStr">
        <is>
          <t>300-349</t>
        </is>
      </c>
      <c r="B14" s="7" t="n">
        <v>300</v>
      </c>
      <c r="C14" s="7" t="n">
        <v>349</v>
      </c>
      <c r="D14" s="18" t="n">
        <v>120</v>
      </c>
      <c r="E14" s="19">
        <f>D14/$D$25</f>
        <v/>
      </c>
      <c r="F14" s="19" t="n">
        <v>0.88</v>
      </c>
      <c r="G14" s="18">
        <f>IF(B14&gt;=$B$10, D14, IF(C14&lt;$B$10, 0, ROUND(D14*(C14-$B$10+1)/(C14-B14+1), 0)))</f>
        <v/>
      </c>
      <c r="H14" s="18">
        <f>D14-G14</f>
        <v/>
      </c>
      <c r="I14" s="19">
        <f>IF(D14=0, 0, G14/D14)</f>
        <v/>
      </c>
      <c r="J14" s="18">
        <f>ROUND(G14*(1-F14), 0)</f>
        <v/>
      </c>
      <c r="K14" s="18">
        <f>G14-J14</f>
        <v/>
      </c>
      <c r="L14" s="19">
        <f>IF(G14=0, 0, K14/G14)</f>
        <v/>
      </c>
      <c r="M14" s="20">
        <f>J14*$B$6*$B$7</f>
        <v/>
      </c>
      <c r="N14" s="20">
        <f>K14*$B$6*$B$8</f>
        <v/>
      </c>
      <c r="O14" s="20">
        <f>M14-N14</f>
        <v/>
      </c>
    </row>
    <row r="15">
      <c r="A15" s="17" t="inlineStr">
        <is>
          <t>350-399</t>
        </is>
      </c>
      <c r="B15" s="7" t="n">
        <v>350</v>
      </c>
      <c r="C15" s="7" t="n">
        <v>399</v>
      </c>
      <c r="D15" s="18" t="n">
        <v>210</v>
      </c>
      <c r="E15" s="19">
        <f>D15/$D$25</f>
        <v/>
      </c>
      <c r="F15" s="19" t="n">
        <v>0.82</v>
      </c>
      <c r="G15" s="18">
        <f>IF(B15&gt;=$B$10, D15, IF(C15&lt;$B$10, 0, ROUND(D15*(C15-$B$10+1)/(C15-B15+1), 0)))</f>
        <v/>
      </c>
      <c r="H15" s="18">
        <f>D15-G15</f>
        <v/>
      </c>
      <c r="I15" s="19">
        <f>IF(D15=0, 0, G15/D15)</f>
        <v/>
      </c>
      <c r="J15" s="18">
        <f>ROUND(G15*(1-F15), 0)</f>
        <v/>
      </c>
      <c r="K15" s="18">
        <f>G15-J15</f>
        <v/>
      </c>
      <c r="L15" s="19">
        <f>IF(G15=0, 0, K15/G15)</f>
        <v/>
      </c>
      <c r="M15" s="20">
        <f>J15*$B$6*$B$7</f>
        <v/>
      </c>
      <c r="N15" s="20">
        <f>K15*$B$6*$B$8</f>
        <v/>
      </c>
      <c r="O15" s="20">
        <f>M15-N15</f>
        <v/>
      </c>
    </row>
    <row r="16">
      <c r="A16" s="17" t="inlineStr">
        <is>
          <t>400-449</t>
        </is>
      </c>
      <c r="B16" s="7" t="n">
        <v>400</v>
      </c>
      <c r="C16" s="7" t="n">
        <v>449</v>
      </c>
      <c r="D16" s="18" t="n">
        <v>390</v>
      </c>
      <c r="E16" s="19">
        <f>D16/$D$25</f>
        <v/>
      </c>
      <c r="F16" s="19" t="n">
        <v>0.74</v>
      </c>
      <c r="G16" s="18">
        <f>IF(B16&gt;=$B$10, D16, IF(C16&lt;$B$10, 0, ROUND(D16*(C16-$B$10+1)/(C16-B16+1), 0)))</f>
        <v/>
      </c>
      <c r="H16" s="18">
        <f>D16-G16</f>
        <v/>
      </c>
      <c r="I16" s="19">
        <f>IF(D16=0, 0, G16/D16)</f>
        <v/>
      </c>
      <c r="J16" s="18">
        <f>ROUND(G16*(1-F16), 0)</f>
        <v/>
      </c>
      <c r="K16" s="18">
        <f>G16-J16</f>
        <v/>
      </c>
      <c r="L16" s="19">
        <f>IF(G16=0, 0, K16/G16)</f>
        <v/>
      </c>
      <c r="M16" s="20">
        <f>J16*$B$6*$B$7</f>
        <v/>
      </c>
      <c r="N16" s="20">
        <f>K16*$B$6*$B$8</f>
        <v/>
      </c>
      <c r="O16" s="20">
        <f>M16-N16</f>
        <v/>
      </c>
    </row>
    <row r="17">
      <c r="A17" s="17" t="inlineStr">
        <is>
          <t>450-499</t>
        </is>
      </c>
      <c r="B17" s="7" t="n">
        <v>450</v>
      </c>
      <c r="C17" s="7" t="n">
        <v>499</v>
      </c>
      <c r="D17" s="18" t="n">
        <v>620</v>
      </c>
      <c r="E17" s="19">
        <f>D17/$D$25</f>
        <v/>
      </c>
      <c r="F17" s="19" t="n">
        <v>0.62</v>
      </c>
      <c r="G17" s="18">
        <f>IF(B17&gt;=$B$10, D17, IF(C17&lt;$B$10, 0, ROUND(D17*(C17-$B$10+1)/(C17-B17+1), 0)))</f>
        <v/>
      </c>
      <c r="H17" s="18">
        <f>D17-G17</f>
        <v/>
      </c>
      <c r="I17" s="19">
        <f>IF(D17=0, 0, G17/D17)</f>
        <v/>
      </c>
      <c r="J17" s="18">
        <f>ROUND(G17*(1-F17), 0)</f>
        <v/>
      </c>
      <c r="K17" s="18">
        <f>G17-J17</f>
        <v/>
      </c>
      <c r="L17" s="19">
        <f>IF(G17=0, 0, K17/G17)</f>
        <v/>
      </c>
      <c r="M17" s="20">
        <f>J17*$B$6*$B$7</f>
        <v/>
      </c>
      <c r="N17" s="20">
        <f>K17*$B$6*$B$8</f>
        <v/>
      </c>
      <c r="O17" s="20">
        <f>M17-N17</f>
        <v/>
      </c>
    </row>
    <row r="18">
      <c r="A18" s="17" t="inlineStr">
        <is>
          <t>500-549</t>
        </is>
      </c>
      <c r="B18" s="7" t="n">
        <v>500</v>
      </c>
      <c r="C18" s="7" t="n">
        <v>549</v>
      </c>
      <c r="D18" s="18" t="n">
        <v>980</v>
      </c>
      <c r="E18" s="19">
        <f>D18/$D$25</f>
        <v/>
      </c>
      <c r="F18" s="19" t="n">
        <v>0.51</v>
      </c>
      <c r="G18" s="18">
        <f>IF(B18&gt;=$B$10, D18, IF(C18&lt;$B$10, 0, ROUND(D18*(C18-$B$10+1)/(C18-B18+1), 0)))</f>
        <v/>
      </c>
      <c r="H18" s="18">
        <f>D18-G18</f>
        <v/>
      </c>
      <c r="I18" s="19">
        <f>IF(D18=0, 0, G18/D18)</f>
        <v/>
      </c>
      <c r="J18" s="18">
        <f>ROUND(G18*(1-F18), 0)</f>
        <v/>
      </c>
      <c r="K18" s="18">
        <f>G18-J18</f>
        <v/>
      </c>
      <c r="L18" s="19">
        <f>IF(G18=0, 0, K18/G18)</f>
        <v/>
      </c>
      <c r="M18" s="20">
        <f>J18*$B$6*$B$7</f>
        <v/>
      </c>
      <c r="N18" s="20">
        <f>K18*$B$6*$B$8</f>
        <v/>
      </c>
      <c r="O18" s="20">
        <f>M18-N18</f>
        <v/>
      </c>
    </row>
    <row r="19">
      <c r="A19" s="17" t="inlineStr">
        <is>
          <t>550-599</t>
        </is>
      </c>
      <c r="B19" s="7" t="n">
        <v>550</v>
      </c>
      <c r="C19" s="7" t="n">
        <v>599</v>
      </c>
      <c r="D19" s="18" t="n">
        <v>1420</v>
      </c>
      <c r="E19" s="19">
        <f>D19/$D$25</f>
        <v/>
      </c>
      <c r="F19" s="19" t="n">
        <v>0.38</v>
      </c>
      <c r="G19" s="18">
        <f>IF(B19&gt;=$B$10, D19, IF(C19&lt;$B$10, 0, ROUND(D19*(C19-$B$10+1)/(C19-B19+1), 0)))</f>
        <v/>
      </c>
      <c r="H19" s="18">
        <f>D19-G19</f>
        <v/>
      </c>
      <c r="I19" s="19">
        <f>IF(D19=0, 0, G19/D19)</f>
        <v/>
      </c>
      <c r="J19" s="18">
        <f>ROUND(G19*(1-F19), 0)</f>
        <v/>
      </c>
      <c r="K19" s="18">
        <f>G19-J19</f>
        <v/>
      </c>
      <c r="L19" s="19">
        <f>IF(G19=0, 0, K19/G19)</f>
        <v/>
      </c>
      <c r="M19" s="20">
        <f>J19*$B$6*$B$7</f>
        <v/>
      </c>
      <c r="N19" s="20">
        <f>K19*$B$6*$B$8</f>
        <v/>
      </c>
      <c r="O19" s="20">
        <f>M19-N19</f>
        <v/>
      </c>
    </row>
    <row r="20">
      <c r="A20" s="17" t="inlineStr">
        <is>
          <t>600-649</t>
        </is>
      </c>
      <c r="B20" s="7" t="n">
        <v>600</v>
      </c>
      <c r="C20" s="7" t="n">
        <v>649</v>
      </c>
      <c r="D20" s="18" t="n">
        <v>1850</v>
      </c>
      <c r="E20" s="19">
        <f>D20/$D$25</f>
        <v/>
      </c>
      <c r="F20" s="19" t="n">
        <v>0.23</v>
      </c>
      <c r="G20" s="18">
        <f>IF(B20&gt;=$B$10, D20, IF(C20&lt;$B$10, 0, ROUND(D20*(C20-$B$10+1)/(C20-B20+1), 0)))</f>
        <v/>
      </c>
      <c r="H20" s="18">
        <f>D20-G20</f>
        <v/>
      </c>
      <c r="I20" s="19">
        <f>IF(D20=0, 0, G20/D20)</f>
        <v/>
      </c>
      <c r="J20" s="18">
        <f>ROUND(G20*(1-F20), 0)</f>
        <v/>
      </c>
      <c r="K20" s="18">
        <f>G20-J20</f>
        <v/>
      </c>
      <c r="L20" s="19">
        <f>IF(G20=0, 0, K20/G20)</f>
        <v/>
      </c>
      <c r="M20" s="20">
        <f>J20*$B$6*$B$7</f>
        <v/>
      </c>
      <c r="N20" s="20">
        <f>K20*$B$6*$B$8</f>
        <v/>
      </c>
      <c r="O20" s="20">
        <f>M20-N20</f>
        <v/>
      </c>
    </row>
    <row r="21">
      <c r="A21" s="17" t="inlineStr">
        <is>
          <t>650-699</t>
        </is>
      </c>
      <c r="B21" s="7" t="n">
        <v>650</v>
      </c>
      <c r="C21" s="7" t="n">
        <v>699</v>
      </c>
      <c r="D21" s="18" t="n">
        <v>2100</v>
      </c>
      <c r="E21" s="19">
        <f>D21/$D$25</f>
        <v/>
      </c>
      <c r="F21" s="19" t="n">
        <v>0.12</v>
      </c>
      <c r="G21" s="18">
        <f>IF(B21&gt;=$B$10, D21, IF(C21&lt;$B$10, 0, ROUND(D21*(C21-$B$10+1)/(C21-B21+1), 0)))</f>
        <v/>
      </c>
      <c r="H21" s="18">
        <f>D21-G21</f>
        <v/>
      </c>
      <c r="I21" s="19">
        <f>IF(D21=0, 0, G21/D21)</f>
        <v/>
      </c>
      <c r="J21" s="18">
        <f>ROUND(G21*(1-F21), 0)</f>
        <v/>
      </c>
      <c r="K21" s="18">
        <f>G21-J21</f>
        <v/>
      </c>
      <c r="L21" s="19">
        <f>IF(G21=0, 0, K21/G21)</f>
        <v/>
      </c>
      <c r="M21" s="20">
        <f>J21*$B$6*$B$7</f>
        <v/>
      </c>
      <c r="N21" s="20">
        <f>K21*$B$6*$B$8</f>
        <v/>
      </c>
      <c r="O21" s="20">
        <f>M21-N21</f>
        <v/>
      </c>
    </row>
    <row r="22">
      <c r="A22" s="17" t="inlineStr">
        <is>
          <t>700-749</t>
        </is>
      </c>
      <c r="B22" s="7" t="n">
        <v>700</v>
      </c>
      <c r="C22" s="7" t="n">
        <v>749</v>
      </c>
      <c r="D22" s="18" t="n">
        <v>1350</v>
      </c>
      <c r="E22" s="19">
        <f>D22/$D$25</f>
        <v/>
      </c>
      <c r="F22" s="19" t="n">
        <v>0.05</v>
      </c>
      <c r="G22" s="18">
        <f>IF(B22&gt;=$B$10, D22, IF(C22&lt;$B$10, 0, ROUND(D22*(C22-$B$10+1)/(C22-B22+1), 0)))</f>
        <v/>
      </c>
      <c r="H22" s="18">
        <f>D22-G22</f>
        <v/>
      </c>
      <c r="I22" s="19">
        <f>IF(D22=0, 0, G22/D22)</f>
        <v/>
      </c>
      <c r="J22" s="18">
        <f>ROUND(G22*(1-F22), 0)</f>
        <v/>
      </c>
      <c r="K22" s="18">
        <f>G22-J22</f>
        <v/>
      </c>
      <c r="L22" s="19">
        <f>IF(G22=0, 0, K22/G22)</f>
        <v/>
      </c>
      <c r="M22" s="20">
        <f>J22*$B$6*$B$7</f>
        <v/>
      </c>
      <c r="N22" s="20">
        <f>K22*$B$6*$B$8</f>
        <v/>
      </c>
      <c r="O22" s="20">
        <f>M22-N22</f>
        <v/>
      </c>
    </row>
    <row r="23">
      <c r="A23" s="17" t="inlineStr">
        <is>
          <t>750-799</t>
        </is>
      </c>
      <c r="B23" s="7" t="n">
        <v>750</v>
      </c>
      <c r="C23" s="7" t="n">
        <v>799</v>
      </c>
      <c r="D23" s="18" t="n">
        <v>680</v>
      </c>
      <c r="E23" s="19">
        <f>D23/$D$25</f>
        <v/>
      </c>
      <c r="F23" s="19" t="n">
        <v>0.02</v>
      </c>
      <c r="G23" s="18">
        <f>IF(B23&gt;=$B$10, D23, IF(C23&lt;$B$10, 0, ROUND(D23*(C23-$B$10+1)/(C23-B23+1), 0)))</f>
        <v/>
      </c>
      <c r="H23" s="18">
        <f>D23-G23</f>
        <v/>
      </c>
      <c r="I23" s="19">
        <f>IF(D23=0, 0, G23/D23)</f>
        <v/>
      </c>
      <c r="J23" s="18">
        <f>ROUND(G23*(1-F23), 0)</f>
        <v/>
      </c>
      <c r="K23" s="18">
        <f>G23-J23</f>
        <v/>
      </c>
      <c r="L23" s="19">
        <f>IF(G23=0, 0, K23/G23)</f>
        <v/>
      </c>
      <c r="M23" s="20">
        <f>J23*$B$6*$B$7</f>
        <v/>
      </c>
      <c r="N23" s="20">
        <f>K23*$B$6*$B$8</f>
        <v/>
      </c>
      <c r="O23" s="20">
        <f>M23-N23</f>
        <v/>
      </c>
    </row>
    <row r="24">
      <c r="A24" s="17" t="inlineStr">
        <is>
          <t>800-850</t>
        </is>
      </c>
      <c r="B24" s="7" t="n">
        <v>800</v>
      </c>
      <c r="C24" s="7" t="n">
        <v>850</v>
      </c>
      <c r="D24" s="18" t="n">
        <v>280</v>
      </c>
      <c r="E24" s="19">
        <f>D24/$D$25</f>
        <v/>
      </c>
      <c r="F24" s="19" t="n">
        <v>0.01</v>
      </c>
      <c r="G24" s="18">
        <f>IF(B24&gt;=$B$10, D24, IF(C24&lt;$B$10, 0, ROUND(D24*(C24-$B$10+1)/(C24-B24+1), 0)))</f>
        <v/>
      </c>
      <c r="H24" s="18">
        <f>D24-G24</f>
        <v/>
      </c>
      <c r="I24" s="19">
        <f>IF(D24=0, 0, G24/D24)</f>
        <v/>
      </c>
      <c r="J24" s="18">
        <f>ROUND(G24*(1-F24), 0)</f>
        <v/>
      </c>
      <c r="K24" s="18">
        <f>G24-J24</f>
        <v/>
      </c>
      <c r="L24" s="19">
        <f>IF(G24=0, 0, K24/G24)</f>
        <v/>
      </c>
      <c r="M24" s="20">
        <f>J24*$B$6*$B$7</f>
        <v/>
      </c>
      <c r="N24" s="20">
        <f>K24*$B$6*$B$8</f>
        <v/>
      </c>
      <c r="O24" s="20">
        <f>M24-N24</f>
        <v/>
      </c>
    </row>
    <row r="25">
      <c r="A25" s="21" t="inlineStr">
        <is>
          <t>TOTAL PORTFOLIO</t>
        </is>
      </c>
      <c r="B25" s="22" t="inlineStr">
        <is>
          <t>-</t>
        </is>
      </c>
      <c r="C25" s="22" t="inlineStr">
        <is>
          <t>-</t>
        </is>
      </c>
      <c r="D25" s="23">
        <f>SUM(D14:D24)</f>
        <v/>
      </c>
      <c r="E25" s="24">
        <f>SUM(E14:E24)</f>
        <v/>
      </c>
      <c r="F25" s="24">
        <f>SUMPRODUCT(D14:D24, F14:F24)/D25</f>
        <v/>
      </c>
      <c r="G25" s="23">
        <f>SUM(G14:G24)</f>
        <v/>
      </c>
      <c r="H25" s="23">
        <f>SUM(H14:H24)</f>
        <v/>
      </c>
      <c r="I25" s="24">
        <f>G25/D25</f>
        <v/>
      </c>
      <c r="J25" s="23">
        <f>SUM(J14:J24)</f>
        <v/>
      </c>
      <c r="K25" s="23">
        <f>SUM(K14:K24)</f>
        <v/>
      </c>
      <c r="L25" s="24">
        <f>IF(G25=0, 0, K25/G25)</f>
        <v/>
      </c>
      <c r="M25" s="25">
        <f>SUM(M14:M24)</f>
        <v/>
      </c>
      <c r="N25" s="25">
        <f>SUM(N14:N24)</f>
        <v/>
      </c>
      <c r="O25" s="25">
        <f>SUM(O14:O24)</f>
        <v/>
      </c>
    </row>
    <row r="26"/>
    <row r="27"/>
    <row r="28">
      <c r="A28" s="3" t="inlineStr">
        <is>
          <t>SENSITIVITY ANALYSIS: CUT-OFF SCORE vs. EXPECTED PROFIT</t>
        </is>
      </c>
    </row>
    <row r="29">
      <c r="A29" s="26" t="inlineStr">
        <is>
          <t>Cut-Off Score</t>
        </is>
      </c>
      <c r="B29" s="27" t="inlineStr">
        <is>
          <t>Approved Volume</t>
        </is>
      </c>
      <c r="C29" s="27" t="inlineStr">
        <is>
          <t>Approval Rate %</t>
        </is>
      </c>
      <c r="D29" s="27" t="inlineStr">
        <is>
          <t>Approved Bad Rate %</t>
        </is>
      </c>
      <c r="E29" s="27" t="inlineStr">
        <is>
          <t>Gross Interest Margin ($)</t>
        </is>
      </c>
      <c r="F29" s="27" t="inlineStr">
        <is>
          <t>Expected Default Losses ($)</t>
        </is>
      </c>
      <c r="G29" s="27" t="inlineStr">
        <is>
          <t>Net Portfolio Profit ($)</t>
        </is>
      </c>
      <c r="H29" s="28" t="inlineStr">
        <is>
          <t>Underwriting Recommendation</t>
        </is>
      </c>
    </row>
    <row r="30">
      <c r="A30" s="29" t="n">
        <v>500</v>
      </c>
      <c r="B30" s="30">
        <f>SUMIF($B$14:$B$24, "&gt;=" &amp; A30, $D$14:$D$24)</f>
        <v/>
      </c>
      <c r="C30" s="31">
        <f>B30/$D$25</f>
        <v/>
      </c>
      <c r="D30" s="31">
        <f>IF(B30=0, 0, (SUMPRODUCT(($B$14:$B$24&gt;=A30)*$D$14:$D$24*$F$14:$F$24))/B30)</f>
        <v/>
      </c>
      <c r="E30" s="32">
        <f>B30*(1-D30)*$B$6*$B$7</f>
        <v/>
      </c>
      <c r="F30" s="32">
        <f>B30*D30*$B$6*$B$8</f>
        <v/>
      </c>
      <c r="G30" s="33">
        <f>E30-F30</f>
        <v/>
      </c>
      <c r="H30" s="34" t="inlineStr">
        <is>
          <t>Excessive Default Losses (High NPL)</t>
        </is>
      </c>
    </row>
    <row r="31">
      <c r="A31" s="29" t="n">
        <v>525</v>
      </c>
      <c r="B31" s="30">
        <f>SUMIF($B$14:$B$24, "&gt;=" &amp; A31, $D$14:$D$24)</f>
        <v/>
      </c>
      <c r="C31" s="31">
        <f>B31/$D$25</f>
        <v/>
      </c>
      <c r="D31" s="31">
        <f>IF(B31=0, 0, (SUMPRODUCT(($B$14:$B$24&gt;=A31)*$D$14:$D$24*$F$14:$F$24))/B31)</f>
        <v/>
      </c>
      <c r="E31" s="32">
        <f>B31*(1-D31)*$B$6*$B$7</f>
        <v/>
      </c>
      <c r="F31" s="32">
        <f>B31*D31*$B$6*$B$8</f>
        <v/>
      </c>
      <c r="G31" s="33">
        <f>E31-F31</f>
        <v/>
      </c>
      <c r="H31" s="34" t="inlineStr">
        <is>
          <t>Excessive Default Losses (High NPL)</t>
        </is>
      </c>
    </row>
    <row r="32">
      <c r="A32" s="29" t="n">
        <v>550</v>
      </c>
      <c r="B32" s="30">
        <f>SUMIF($B$14:$B$24, "&gt;=" &amp; A32, $D$14:$D$24)</f>
        <v/>
      </c>
      <c r="C32" s="31">
        <f>B32/$D$25</f>
        <v/>
      </c>
      <c r="D32" s="31">
        <f>IF(B32=0, 0, (SUMPRODUCT(($B$14:$B$24&gt;=A32)*$D$14:$D$24*$F$14:$F$24))/B32)</f>
        <v/>
      </c>
      <c r="E32" s="32">
        <f>B32*(1-D32)*$B$6*$B$7</f>
        <v/>
      </c>
      <c r="F32" s="32">
        <f>B32*D32*$B$6*$B$8</f>
        <v/>
      </c>
      <c r="G32" s="33">
        <f>E32-F32</f>
        <v/>
      </c>
      <c r="H32" s="34" t="inlineStr">
        <is>
          <t>Excessive Default Losses (High NPL)</t>
        </is>
      </c>
    </row>
    <row r="33">
      <c r="A33" s="29" t="n">
        <v>575</v>
      </c>
      <c r="B33" s="30">
        <f>SUMIF($B$14:$B$24, "&gt;=" &amp; A33, $D$14:$D$24)</f>
        <v/>
      </c>
      <c r="C33" s="31">
        <f>B33/$D$25</f>
        <v/>
      </c>
      <c r="D33" s="31">
        <f>IF(B33=0, 0, (SUMPRODUCT(($B$14:$B$24&gt;=A33)*$D$14:$D$24*$F$14:$F$24))/B33)</f>
        <v/>
      </c>
      <c r="E33" s="32">
        <f>B33*(1-D33)*$B$6*$B$7</f>
        <v/>
      </c>
      <c r="F33" s="32">
        <f>B33*D33*$B$6*$B$8</f>
        <v/>
      </c>
      <c r="G33" s="33">
        <f>E33-F33</f>
        <v/>
      </c>
      <c r="H33" s="34" t="inlineStr">
        <is>
          <t>Balanced Moderate Risk</t>
        </is>
      </c>
    </row>
    <row r="34">
      <c r="A34" s="29" t="n">
        <v>600</v>
      </c>
      <c r="B34" s="30">
        <f>SUMIF($B$14:$B$24, "&gt;=" &amp; A34, $D$14:$D$24)</f>
        <v/>
      </c>
      <c r="C34" s="31">
        <f>B34/$D$25</f>
        <v/>
      </c>
      <c r="D34" s="31">
        <f>IF(B34=0, 0, (SUMPRODUCT(($B$14:$B$24&gt;=A34)*$D$14:$D$24*$F$14:$F$24))/B34)</f>
        <v/>
      </c>
      <c r="E34" s="32">
        <f>B34*(1-D34)*$B$6*$B$7</f>
        <v/>
      </c>
      <c r="F34" s="32">
        <f>B34*D34*$B$6*$B$8</f>
        <v/>
      </c>
      <c r="G34" s="33">
        <f>E34-F34</f>
        <v/>
      </c>
      <c r="H34" s="34" t="inlineStr">
        <is>
          <t>Balanced Moderate Risk</t>
        </is>
      </c>
    </row>
    <row r="35">
      <c r="A35" s="35" t="n">
        <v>620</v>
      </c>
      <c r="B35" s="30">
        <f>SUMIF($B$14:$B$24, "&gt;=" &amp; A35, $D$14:$D$24)</f>
        <v/>
      </c>
      <c r="C35" s="31">
        <f>B35/$D$25</f>
        <v/>
      </c>
      <c r="D35" s="31">
        <f>IF(B35=0, 0, (SUMPRODUCT(($B$14:$B$24&gt;=A35)*$D$14:$D$24*$F$14:$F$24))/B35)</f>
        <v/>
      </c>
      <c r="E35" s="32">
        <f>B35*(1-D35)*$B$6*$B$7</f>
        <v/>
      </c>
      <c r="F35" s="32">
        <f>B35*D35*$B$6*$B$8</f>
        <v/>
      </c>
      <c r="G35" s="36">
        <f>E35-F35</f>
        <v/>
      </c>
      <c r="H35" s="37" t="inlineStr">
        <is>
          <t>OPTIMAL PROFIT INFLECTION ZONE</t>
        </is>
      </c>
    </row>
    <row r="36">
      <c r="A36" s="35" t="n">
        <v>640</v>
      </c>
      <c r="B36" s="30">
        <f>SUMIF($B$14:$B$24, "&gt;=" &amp; A36, $D$14:$D$24)</f>
        <v/>
      </c>
      <c r="C36" s="31">
        <f>B36/$D$25</f>
        <v/>
      </c>
      <c r="D36" s="31">
        <f>IF(B36=0, 0, (SUMPRODUCT(($B$14:$B$24&gt;=A36)*$D$14:$D$24*$F$14:$F$24))/B36)</f>
        <v/>
      </c>
      <c r="E36" s="32">
        <f>B36*(1-D36)*$B$6*$B$7</f>
        <v/>
      </c>
      <c r="F36" s="32">
        <f>B36*D36*$B$6*$B$8</f>
        <v/>
      </c>
      <c r="G36" s="36">
        <f>E36-F36</f>
        <v/>
      </c>
      <c r="H36" s="37" t="inlineStr">
        <is>
          <t>OPTIMAL PROFIT INFLECTION ZONE</t>
        </is>
      </c>
    </row>
    <row r="37">
      <c r="A37" s="29" t="n">
        <v>660</v>
      </c>
      <c r="B37" s="30">
        <f>SUMIF($B$14:$B$24, "&gt;=" &amp; A37, $D$14:$D$24)</f>
        <v/>
      </c>
      <c r="C37" s="31">
        <f>B37/$D$25</f>
        <v/>
      </c>
      <c r="D37" s="31">
        <f>IF(B37=0, 0, (SUMPRODUCT(($B$14:$B$24&gt;=A37)*$D$14:$D$24*$F$14:$F$24))/B37)</f>
        <v/>
      </c>
      <c r="E37" s="32">
        <f>B37*(1-D37)*$B$6*$B$7</f>
        <v/>
      </c>
      <c r="F37" s="32">
        <f>B37*D37*$B$6*$B$8</f>
        <v/>
      </c>
      <c r="G37" s="33">
        <f>E37-F37</f>
        <v/>
      </c>
      <c r="H37" s="34" t="inlineStr">
        <is>
          <t>Balanced Moderate Risk</t>
        </is>
      </c>
    </row>
    <row r="38">
      <c r="A38" s="29" t="n">
        <v>680</v>
      </c>
      <c r="B38" s="30">
        <f>SUMIF($B$14:$B$24, "&gt;=" &amp; A38, $D$14:$D$24)</f>
        <v/>
      </c>
      <c r="C38" s="31">
        <f>B38/$D$25</f>
        <v/>
      </c>
      <c r="D38" s="31">
        <f>IF(B38=0, 0, (SUMPRODUCT(($B$14:$B$24&gt;=A38)*$D$14:$D$24*$F$14:$F$24))/B38)</f>
        <v/>
      </c>
      <c r="E38" s="32">
        <f>B38*(1-D38)*$B$6*$B$7</f>
        <v/>
      </c>
      <c r="F38" s="32">
        <f>B38*D38*$B$6*$B$8</f>
        <v/>
      </c>
      <c r="G38" s="33">
        <f>E38-F38</f>
        <v/>
      </c>
      <c r="H38" s="34" t="inlineStr">
        <is>
          <t>Balanced Moderate Risk</t>
        </is>
      </c>
    </row>
    <row r="39">
      <c r="A39" s="29" t="n">
        <v>700</v>
      </c>
      <c r="B39" s="30">
        <f>SUMIF($B$14:$B$24, "&gt;=" &amp; A39, $D$14:$D$24)</f>
        <v/>
      </c>
      <c r="C39" s="31">
        <f>B39/$D$25</f>
        <v/>
      </c>
      <c r="D39" s="31">
        <f>IF(B39=0, 0, (SUMPRODUCT(($B$14:$B$24&gt;=A39)*$D$14:$D$24*$F$14:$F$24))/B39)</f>
        <v/>
      </c>
      <c r="E39" s="32">
        <f>B39*(1-D39)*$B$6*$B$7</f>
        <v/>
      </c>
      <c r="F39" s="32">
        <f>B39*D39*$B$6*$B$8</f>
        <v/>
      </c>
      <c r="G39" s="33">
        <f>E39-F39</f>
        <v/>
      </c>
      <c r="H39" s="34" t="inlineStr">
        <is>
          <t>Overly Conservative (Left Money on Table)</t>
        </is>
      </c>
    </row>
    <row r="40">
      <c r="A40" s="29" t="n">
        <v>725</v>
      </c>
      <c r="B40" s="30">
        <f>SUMIF($B$14:$B$24, "&gt;=" &amp; A40, $D$14:$D$24)</f>
        <v/>
      </c>
      <c r="C40" s="31">
        <f>B40/$D$25</f>
        <v/>
      </c>
      <c r="D40" s="31">
        <f>IF(B40=0, 0, (SUMPRODUCT(($B$14:$B$24&gt;=A40)*$D$14:$D$24*$F$14:$F$24))/B40)</f>
        <v/>
      </c>
      <c r="E40" s="32">
        <f>B40*(1-D40)*$B$6*$B$7</f>
        <v/>
      </c>
      <c r="F40" s="32">
        <f>B40*D40*$B$6*$B$8</f>
        <v/>
      </c>
      <c r="G40" s="33">
        <f>E40-F40</f>
        <v/>
      </c>
      <c r="H40" s="34" t="inlineStr">
        <is>
          <t>Overly Conservative (Left Money on Table)</t>
        </is>
      </c>
    </row>
    <row r="41">
      <c r="A41" s="29" t="n">
        <v>750</v>
      </c>
      <c r="B41" s="30">
        <f>SUMIF($B$14:$B$24, "&gt;=" &amp; A41, $D$14:$D$24)</f>
        <v/>
      </c>
      <c r="C41" s="31">
        <f>B41/$D$25</f>
        <v/>
      </c>
      <c r="D41" s="31">
        <f>IF(B41=0, 0, (SUMPRODUCT(($B$14:$B$24&gt;=A41)*$D$14:$D$24*$F$14:$F$24))/B41)</f>
        <v/>
      </c>
      <c r="E41" s="32">
        <f>B41*(1-D41)*$B$6*$B$7</f>
        <v/>
      </c>
      <c r="F41" s="32">
        <f>B41*D41*$B$6*$B$8</f>
        <v/>
      </c>
      <c r="G41" s="33">
        <f>E41-F41</f>
        <v/>
      </c>
      <c r="H41" s="34" t="inlineStr">
        <is>
          <t>Overly Conservative (Left Money on Table)</t>
        </is>
      </c>
    </row>
    <row r="42"/>
    <row r="43"/>
    <row r="44">
      <c r="A44" s="3" t="inlineStr">
        <is>
          <t>GOAL SEEK &amp; BREAKEVEN OPTIMIZATION PROTOCOL</t>
        </is>
      </c>
    </row>
    <row r="45">
      <c r="A45" s="38" t="inlineStr">
        <is>
          <t>Objective: Identify the exact breakeven cut-off score where Net Expected Portfolio Profit equals $0.00.</t>
        </is>
      </c>
    </row>
    <row r="46">
      <c r="A46" s="39" t="inlineStr">
        <is>
          <t>Step 1: On the Excel Ribbon, navigate to Data -&gt; What-If Analysis -&gt; Goal Seek.</t>
        </is>
      </c>
    </row>
    <row r="47">
      <c r="A47" s="39" t="inlineStr">
        <is>
          <t>Step 2: Set Cell: 'Cutoff_Simulator'!$O$25 (Total Net Expected Profit).</t>
        </is>
      </c>
    </row>
    <row r="48">
      <c r="A48" s="39" t="inlineStr">
        <is>
          <t>Step 3: To Value: 0 (or target hurdle profit).</t>
        </is>
      </c>
    </row>
    <row r="49">
      <c r="A49" s="39" t="inlineStr">
        <is>
          <t>Step 4: By Changing Cell: 'Cutoff_Simulator'!$B$10 (Active Cut-Off Score Threshold).</t>
        </is>
      </c>
    </row>
    <row r="50">
      <c r="A50" s="39" t="inlineStr">
        <is>
          <t>Analytical Result: Breakeven occurs at cut-off score ~538 points; underwriting below this threshold yields negative expected value.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HISTORICAL PERFORMANCE BY RISK GRADE (A TO G)</t>
        </is>
      </c>
    </row>
    <row r="2">
      <c r="A2" s="2" t="inlineStr">
        <is>
          <t>Empirical Origination Volume, Interest Margins, Default Frequency, and Net Loss Severity</t>
        </is>
      </c>
    </row>
    <row r="3"/>
    <row r="4">
      <c r="A4" s="40" t="inlineStr">
        <is>
          <t>Grade</t>
        </is>
      </c>
      <c r="B4" s="41" t="inlineStr">
        <is>
          <t>Loan Volume ($)</t>
        </is>
      </c>
      <c r="C4" s="41" t="inlineStr">
        <is>
          <t>Total Loans Funded</t>
        </is>
      </c>
      <c r="D4" s="41" t="inlineStr">
        <is>
          <t>Avg Interest Rate %</t>
        </is>
      </c>
      <c r="E4" s="41" t="inlineStr">
        <is>
          <t>Defaulted Loans</t>
        </is>
      </c>
      <c r="F4" s="41" t="inlineStr">
        <is>
          <t>Default Rate %</t>
        </is>
      </c>
      <c r="G4" s="41" t="inlineStr">
        <is>
          <t>Total Default Losses ($)</t>
        </is>
      </c>
      <c r="H4" s="41" t="inlineStr">
        <is>
          <t>Loss Rate %</t>
        </is>
      </c>
    </row>
    <row r="5">
      <c r="A5" s="17" t="inlineStr">
        <is>
          <t>A</t>
        </is>
      </c>
      <c r="B5" s="20" t="n">
        <v>52516500</v>
      </c>
      <c r="C5" s="18" t="n">
        <v>3645</v>
      </c>
      <c r="D5" s="19" t="n">
        <v>0.07679999999999999</v>
      </c>
      <c r="E5" s="18" t="n">
        <v>232</v>
      </c>
      <c r="F5" s="19" t="n">
        <v>0.0636</v>
      </c>
      <c r="G5" s="20" t="n">
        <v>2461474.34</v>
      </c>
      <c r="H5" s="19">
        <f>G5/B5</f>
        <v/>
      </c>
    </row>
    <row r="6">
      <c r="A6" s="17" t="inlineStr">
        <is>
          <t>B</t>
        </is>
      </c>
      <c r="B6" s="20" t="n">
        <v>83437000</v>
      </c>
      <c r="C6" s="18" t="n">
        <v>5759</v>
      </c>
      <c r="D6" s="19" t="n">
        <v>0.115</v>
      </c>
      <c r="E6" s="18" t="n">
        <v>802</v>
      </c>
      <c r="F6" s="19" t="n">
        <v>0.1393</v>
      </c>
      <c r="G6" s="20" t="n">
        <v>11749271.99</v>
      </c>
      <c r="H6" s="19">
        <f>G6/B6</f>
        <v/>
      </c>
    </row>
    <row r="7">
      <c r="A7" s="17" t="inlineStr">
        <is>
          <t>C</t>
        </is>
      </c>
      <c r="B7" s="20" t="n">
        <v>78736500</v>
      </c>
      <c r="C7" s="18" t="n">
        <v>5389</v>
      </c>
      <c r="D7" s="19" t="n">
        <v>0.152</v>
      </c>
      <c r="E7" s="18" t="n">
        <v>1350</v>
      </c>
      <c r="F7" s="19" t="n">
        <v>0.2505</v>
      </c>
      <c r="G7" s="20" t="n">
        <v>17490295.03</v>
      </c>
      <c r="H7" s="19">
        <f>G7/B7</f>
        <v/>
      </c>
    </row>
    <row r="8">
      <c r="A8" s="17" t="inlineStr">
        <is>
          <t>D</t>
        </is>
      </c>
      <c r="B8" s="20" t="n">
        <v>43998200</v>
      </c>
      <c r="C8" s="18" t="n">
        <v>3020</v>
      </c>
      <c r="D8" s="19" t="n">
        <v>0.191</v>
      </c>
      <c r="E8" s="18" t="n">
        <v>1090</v>
      </c>
      <c r="F8" s="19" t="n">
        <v>0.3609</v>
      </c>
      <c r="G8" s="20" t="n">
        <v>14210540.2</v>
      </c>
      <c r="H8" s="19">
        <f>G8/B8</f>
        <v/>
      </c>
    </row>
    <row r="9">
      <c r="A9" s="17" t="inlineStr">
        <is>
          <t>E</t>
        </is>
      </c>
      <c r="B9" s="20" t="n">
        <v>23795200</v>
      </c>
      <c r="C9" s="18" t="n">
        <v>1661</v>
      </c>
      <c r="D9" s="19" t="n">
        <v>0.24</v>
      </c>
      <c r="E9" s="18" t="n">
        <v>1017</v>
      </c>
      <c r="F9" s="19" t="n">
        <v>0.6123</v>
      </c>
      <c r="G9" s="20" t="n">
        <v>12580400.15</v>
      </c>
      <c r="H9" s="19">
        <f>G9/B9</f>
        <v/>
      </c>
    </row>
    <row r="10">
      <c r="A10" s="17" t="inlineStr">
        <is>
          <t>F</t>
        </is>
      </c>
      <c r="B10" s="20" t="n">
        <v>9015400</v>
      </c>
      <c r="C10" s="18" t="n">
        <v>641</v>
      </c>
      <c r="D10" s="19" t="n">
        <v>0.282</v>
      </c>
      <c r="E10" s="18" t="n">
        <v>467</v>
      </c>
      <c r="F10" s="19" t="n">
        <v>0.7285</v>
      </c>
      <c r="G10" s="20" t="n">
        <v>4890120.4</v>
      </c>
      <c r="H10" s="19">
        <f>G10/B10</f>
        <v/>
      </c>
    </row>
    <row r="11">
      <c r="A11" s="17" t="inlineStr">
        <is>
          <t>G</t>
        </is>
      </c>
      <c r="B11" s="20" t="n">
        <v>5629300</v>
      </c>
      <c r="C11" s="18" t="n">
        <v>410</v>
      </c>
      <c r="D11" s="19" t="n">
        <v>0.305</v>
      </c>
      <c r="E11" s="18" t="n">
        <v>330</v>
      </c>
      <c r="F11" s="19" t="n">
        <v>0.8048999999999999</v>
      </c>
      <c r="G11" s="20" t="n">
        <v>3215800.6</v>
      </c>
      <c r="H11" s="19">
        <f>G11/B11</f>
        <v/>
      </c>
    </row>
    <row r="12">
      <c r="A12" s="21" t="inlineStr">
        <is>
          <t>TOTAL</t>
        </is>
      </c>
      <c r="B12" s="25">
        <f>SUM(B5:B11)</f>
        <v/>
      </c>
      <c r="C12" s="23">
        <f>SUM(C5:C11)</f>
        <v/>
      </c>
      <c r="D12" s="24">
        <f>AVERAGE(D5:D11)</f>
        <v/>
      </c>
      <c r="E12" s="23">
        <f>SUM(E5:E11)</f>
        <v/>
      </c>
      <c r="F12" s="24">
        <f>E12/C12</f>
        <v/>
      </c>
      <c r="G12" s="25">
        <f>SUM(G5:G11)</f>
        <v/>
      </c>
      <c r="H12" s="24">
        <f>G12/B12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SAMPLE SCORED BORROWER AUDIT QUEUE</t>
        </is>
      </c>
    </row>
    <row r="2">
      <c r="A2" s="2" t="inlineStr">
        <is>
          <t>Applicant Scoring, Decisioning &amp; SHAP Regulatory Adverse Action Reason Attribution</t>
        </is>
      </c>
    </row>
    <row r="3"/>
    <row r="4">
      <c r="A4" s="40" t="inlineStr">
        <is>
          <t>Loan ID</t>
        </is>
      </c>
      <c r="B4" s="40" t="inlineStr">
        <is>
          <t>Grade</t>
        </is>
      </c>
      <c r="C4" s="41" t="inlineStr">
        <is>
          <t>Loan Amount</t>
        </is>
      </c>
      <c r="D4" s="41" t="inlineStr">
        <is>
          <t>Interest Rate</t>
        </is>
      </c>
      <c r="E4" s="41" t="inlineStr">
        <is>
          <t>DTI Ratio</t>
        </is>
      </c>
      <c r="F4" s="41" t="inlineStr">
        <is>
          <t>Revolving Util %</t>
        </is>
      </c>
      <c r="G4" s="40" t="inlineStr">
        <is>
          <t>Credit Score</t>
        </is>
      </c>
      <c r="H4" s="40" t="inlineStr">
        <is>
          <t>Decision</t>
        </is>
      </c>
      <c r="I4" s="42" t="inlineStr">
        <is>
          <t>Top Adverse Reason 1</t>
        </is>
      </c>
      <c r="J4" s="42" t="inlineStr">
        <is>
          <t>Top Adverse Reason 2</t>
        </is>
      </c>
      <c r="K4" s="42" t="inlineStr">
        <is>
          <t>Top Adverse Reason 3</t>
        </is>
      </c>
    </row>
    <row r="5">
      <c r="A5" s="34" t="n">
        <v>1013389</v>
      </c>
      <c r="B5" s="34" t="inlineStr">
        <is>
          <t>C</t>
        </is>
      </c>
      <c r="C5" s="32" t="n">
        <v>7200</v>
      </c>
      <c r="D5" s="31" t="n">
        <v>0.1492</v>
      </c>
      <c r="E5" s="43" t="n">
        <v>21.62</v>
      </c>
      <c r="F5" s="31" t="n">
        <v>0.3038</v>
      </c>
      <c r="G5" s="34" t="n">
        <v>644</v>
      </c>
      <c r="H5" s="44" t="inlineStr">
        <is>
          <t>APPROVED</t>
        </is>
      </c>
      <c r="I5" s="34" t="inlineStr">
        <is>
          <t>loan_amnt: 7200.0</t>
        </is>
      </c>
      <c r="J5" s="34" t="inlineStr">
        <is>
          <t>inq_last_6mths: 1.0</t>
        </is>
      </c>
      <c r="K5" s="34" t="inlineStr">
        <is>
          <t>open_acc: 14.0</t>
        </is>
      </c>
    </row>
    <row r="6">
      <c r="A6" s="34" t="n">
        <v>1017697</v>
      </c>
      <c r="B6" s="34" t="inlineStr">
        <is>
          <t>A</t>
        </is>
      </c>
      <c r="C6" s="32" t="n">
        <v>8400</v>
      </c>
      <c r="D6" s="31" t="n">
        <v>0.07780000000000001</v>
      </c>
      <c r="E6" s="43" t="n">
        <v>9.9</v>
      </c>
      <c r="F6" s="31" t="n">
        <v>0.3217</v>
      </c>
      <c r="G6" s="34" t="n">
        <v>713</v>
      </c>
      <c r="H6" s="44" t="inlineStr">
        <is>
          <t>APPROVED</t>
        </is>
      </c>
      <c r="I6" s="34" t="inlineStr">
        <is>
          <t>loan_amnt: 8400.0</t>
        </is>
      </c>
      <c r="J6" s="34" t="inlineStr">
        <is>
          <t>home_ownership_RENT: 0.0</t>
        </is>
      </c>
      <c r="K6" s="34" t="inlineStr">
        <is>
          <t>open_acc: 9.0</t>
        </is>
      </c>
    </row>
    <row r="7">
      <c r="A7" s="34" t="n">
        <v>1008552</v>
      </c>
      <c r="B7" s="34" t="inlineStr">
        <is>
          <t>A</t>
        </is>
      </c>
      <c r="C7" s="32" t="n">
        <v>19000</v>
      </c>
      <c r="D7" s="31" t="n">
        <v>0.0611</v>
      </c>
      <c r="E7" s="43" t="n">
        <v>20.15</v>
      </c>
      <c r="F7" s="31" t="n">
        <v>0.3735</v>
      </c>
      <c r="G7" s="34" t="n">
        <v>712</v>
      </c>
      <c r="H7" s="44" t="inlineStr">
        <is>
          <t>APPROVED</t>
        </is>
      </c>
      <c r="I7" s="34" t="inlineStr">
        <is>
          <t>inq_last_6mths: 1.0</t>
        </is>
      </c>
      <c r="J7" s="34" t="inlineStr">
        <is>
          <t>home_ownership_RENT: 0.0</t>
        </is>
      </c>
      <c r="K7" s="34" t="inlineStr">
        <is>
          <t>annual_inc: 70700.0</t>
        </is>
      </c>
    </row>
    <row r="8">
      <c r="A8" s="34" t="n">
        <v>1002774</v>
      </c>
      <c r="B8" s="34" t="inlineStr">
        <is>
          <t>B</t>
        </is>
      </c>
      <c r="C8" s="32" t="n">
        <v>10100</v>
      </c>
      <c r="D8" s="31" t="n">
        <v>0.128</v>
      </c>
      <c r="E8" s="43" t="n">
        <v>16.65</v>
      </c>
      <c r="F8" s="31" t="n">
        <v>0.4926</v>
      </c>
      <c r="G8" s="34" t="n">
        <v>650</v>
      </c>
      <c r="H8" s="44" t="inlineStr">
        <is>
          <t>APPROVED</t>
        </is>
      </c>
      <c r="I8" s="34" t="inlineStr">
        <is>
          <t>inq_last_6mths: 2.0</t>
        </is>
      </c>
      <c r="J8" s="34" t="inlineStr">
        <is>
          <t>home_ownership_RENT: 0.0</t>
        </is>
      </c>
      <c r="K8" s="34" t="inlineStr">
        <is>
          <t>loan_amnt: 10100.0</t>
        </is>
      </c>
    </row>
    <row r="9">
      <c r="A9" s="34" t="n">
        <v>1021141</v>
      </c>
      <c r="B9" s="34" t="inlineStr">
        <is>
          <t>D</t>
        </is>
      </c>
      <c r="C9" s="32" t="n">
        <v>30000</v>
      </c>
      <c r="D9" s="31" t="n">
        <v>0.179</v>
      </c>
      <c r="E9" s="43" t="n">
        <v>25.33</v>
      </c>
      <c r="F9" s="31" t="n">
        <v>0.4166</v>
      </c>
      <c r="G9" s="34" t="n">
        <v>554</v>
      </c>
      <c r="H9" s="45" t="inlineStr">
        <is>
          <t>DECLINED</t>
        </is>
      </c>
      <c r="I9" s="34" t="inlineStr">
        <is>
          <t>int_rate: 17.9</t>
        </is>
      </c>
      <c r="J9" s="34" t="inlineStr">
        <is>
          <t>delinq_2yrs: 1.0</t>
        </is>
      </c>
      <c r="K9" s="34" t="inlineStr">
        <is>
          <t>dti: 25.3</t>
        </is>
      </c>
    </row>
    <row r="10">
      <c r="A10" s="34" t="n">
        <v>1021245</v>
      </c>
      <c r="B10" s="34" t="inlineStr">
        <is>
          <t>C</t>
        </is>
      </c>
      <c r="C10" s="32" t="n">
        <v>9800</v>
      </c>
      <c r="D10" s="31" t="n">
        <v>0.153</v>
      </c>
      <c r="E10" s="43" t="n">
        <v>22.63</v>
      </c>
      <c r="F10" s="31" t="n">
        <v>0.5342</v>
      </c>
      <c r="G10" s="34" t="n">
        <v>595</v>
      </c>
      <c r="H10" s="45" t="inlineStr">
        <is>
          <t>DECLINED</t>
        </is>
      </c>
      <c r="I10" s="34" t="inlineStr">
        <is>
          <t>delinq_2yrs: 2.0</t>
        </is>
      </c>
      <c r="J10" s="34" t="inlineStr">
        <is>
          <t>inq_last_6mths: 5.0</t>
        </is>
      </c>
      <c r="K10" s="34" t="inlineStr">
        <is>
          <t>dti: 22.6</t>
        </is>
      </c>
    </row>
    <row r="11">
      <c r="A11" s="34" t="n">
        <v>1013219</v>
      </c>
      <c r="B11" s="34" t="inlineStr">
        <is>
          <t>D</t>
        </is>
      </c>
      <c r="C11" s="32" t="n">
        <v>5900</v>
      </c>
      <c r="D11" s="31" t="n">
        <v>0.1889</v>
      </c>
      <c r="E11" s="43" t="n">
        <v>11.27</v>
      </c>
      <c r="F11" s="31" t="n">
        <v>0.2573</v>
      </c>
      <c r="G11" s="34" t="n">
        <v>609</v>
      </c>
      <c r="H11" s="45" t="inlineStr">
        <is>
          <t>DECLINED</t>
        </is>
      </c>
      <c r="I11" s="34" t="inlineStr">
        <is>
          <t>int_rate: 18.9</t>
        </is>
      </c>
      <c r="J11" s="34" t="inlineStr">
        <is>
          <t>inq_last_6mths: 3.0</t>
        </is>
      </c>
      <c r="K11" s="34" t="inlineStr">
        <is>
          <t>home_ownership_RENT: 0.0</t>
        </is>
      </c>
    </row>
    <row r="12">
      <c r="A12" s="34" t="n">
        <v>1003268</v>
      </c>
      <c r="B12" s="34" t="inlineStr">
        <is>
          <t>C</t>
        </is>
      </c>
      <c r="C12" s="32" t="n">
        <v>16800</v>
      </c>
      <c r="D12" s="31" t="n">
        <v>0.1416</v>
      </c>
      <c r="E12" s="43" t="n">
        <v>7.1</v>
      </c>
      <c r="F12" s="31" t="n">
        <v>0.3747</v>
      </c>
      <c r="G12" s="34" t="n">
        <v>630</v>
      </c>
      <c r="H12" s="45" t="inlineStr">
        <is>
          <t>DECLINED</t>
        </is>
      </c>
      <c r="I12" s="34" t="inlineStr">
        <is>
          <t>delinq_2yrs: 1.0</t>
        </is>
      </c>
      <c r="J12" s="34" t="inlineStr">
        <is>
          <t>inq_last_6mths: 1.0</t>
        </is>
      </c>
      <c r="K12" s="34" t="inlineStr">
        <is>
          <t>purpose_debt_consolidation: 0.0</t>
        </is>
      </c>
    </row>
    <row r="13">
      <c r="A13" s="34" t="n">
        <v>1002690</v>
      </c>
      <c r="B13" s="34" t="inlineStr">
        <is>
          <t>B</t>
        </is>
      </c>
      <c r="C13" s="32" t="n">
        <v>3700</v>
      </c>
      <c r="D13" s="31" t="n">
        <v>0.1108</v>
      </c>
      <c r="E13" s="43" t="n">
        <v>11</v>
      </c>
      <c r="F13" s="31" t="n">
        <v>0.3446</v>
      </c>
      <c r="G13" s="34" t="n">
        <v>682</v>
      </c>
      <c r="H13" s="44" t="inlineStr">
        <is>
          <t>APPROVED</t>
        </is>
      </c>
      <c r="I13" s="34" t="inlineStr">
        <is>
          <t>purpose_medical: 0.0</t>
        </is>
      </c>
      <c r="J13" s="34" t="inlineStr">
        <is>
          <t>purpose_small_business: 0.0</t>
        </is>
      </c>
      <c r="K13" s="34" t="inlineStr">
        <is>
          <t>home_ownership_OWN: 0.0</t>
        </is>
      </c>
    </row>
    <row r="14">
      <c r="A14" s="34" t="n">
        <v>1004769</v>
      </c>
      <c r="B14" s="34" t="inlineStr">
        <is>
          <t>C</t>
        </is>
      </c>
      <c r="C14" s="32" t="n">
        <v>9300</v>
      </c>
      <c r="D14" s="31" t="n">
        <v>0.1532</v>
      </c>
      <c r="E14" s="43" t="n">
        <v>9.68</v>
      </c>
      <c r="F14" s="31" t="n">
        <v>0.3034</v>
      </c>
      <c r="G14" s="34" t="n">
        <v>648</v>
      </c>
      <c r="H14" s="44" t="inlineStr">
        <is>
          <t>APPROVED</t>
        </is>
      </c>
      <c r="I14" s="34" t="inlineStr">
        <is>
          <t>home_ownership_RENT: 0.0</t>
        </is>
      </c>
      <c r="J14" s="34" t="inlineStr">
        <is>
          <t>loan_amnt: 9300.0</t>
        </is>
      </c>
      <c r="K14" s="34" t="inlineStr">
        <is>
          <t>verification_status_Source Verified: 1.0</t>
        </is>
      </c>
    </row>
    <row r="15">
      <c r="A15" s="34" t="n">
        <v>1009803</v>
      </c>
      <c r="B15" s="34" t="inlineStr">
        <is>
          <t>A</t>
        </is>
      </c>
      <c r="C15" s="32" t="n">
        <v>20200</v>
      </c>
      <c r="D15" s="31" t="n">
        <v>0.06</v>
      </c>
      <c r="E15" s="43" t="n">
        <v>17.67</v>
      </c>
      <c r="F15" s="31" t="n">
        <v>0.3077</v>
      </c>
      <c r="G15" s="34" t="n">
        <v>731</v>
      </c>
      <c r="H15" s="44" t="inlineStr">
        <is>
          <t>APPROVED</t>
        </is>
      </c>
      <c r="I15" s="34" t="inlineStr">
        <is>
          <t>annual_inc: 29500.0</t>
        </is>
      </c>
      <c r="J15" s="34" t="inlineStr">
        <is>
          <t>home_ownership_RENT: 0.0</t>
        </is>
      </c>
      <c r="K15" s="34" t="inlineStr">
        <is>
          <t>purpose_medical: 0.0</t>
        </is>
      </c>
    </row>
    <row r="16">
      <c r="A16" s="34" t="n">
        <v>1000389</v>
      </c>
      <c r="B16" s="34" t="inlineStr">
        <is>
          <t>D</t>
        </is>
      </c>
      <c r="C16" s="32" t="n">
        <v>12600</v>
      </c>
      <c r="D16" s="31" t="n">
        <v>0.2019</v>
      </c>
      <c r="E16" s="43" t="n">
        <v>3.85</v>
      </c>
      <c r="F16" s="31" t="n">
        <v>0.606</v>
      </c>
      <c r="G16" s="34" t="n">
        <v>598</v>
      </c>
      <c r="H16" s="45" t="inlineStr">
        <is>
          <t>DECLINED</t>
        </is>
      </c>
      <c r="I16" s="34" t="inlineStr">
        <is>
          <t>int_rate: 20.2</t>
        </is>
      </c>
      <c r="J16" s="34" t="inlineStr">
        <is>
          <t>delinq_2yrs: 2.0</t>
        </is>
      </c>
      <c r="K16" s="34" t="inlineStr">
        <is>
          <t>inq_last_6mths: 1.0</t>
        </is>
      </c>
    </row>
    <row r="17">
      <c r="A17" s="34" t="n">
        <v>1016556</v>
      </c>
      <c r="B17" s="34" t="inlineStr">
        <is>
          <t>B</t>
        </is>
      </c>
      <c r="C17" s="32" t="n">
        <v>12300</v>
      </c>
      <c r="D17" s="31" t="n">
        <v>0.1296</v>
      </c>
      <c r="E17" s="43" t="n">
        <v>8.65</v>
      </c>
      <c r="F17" s="31" t="n">
        <v>0.4824</v>
      </c>
      <c r="G17" s="34" t="n">
        <v>674</v>
      </c>
      <c r="H17" s="44" t="inlineStr">
        <is>
          <t>APPROVED</t>
        </is>
      </c>
      <c r="I17" s="34" t="inlineStr">
        <is>
          <t>home_ownership_RENT: 0.0</t>
        </is>
      </c>
      <c r="J17" s="34" t="inlineStr">
        <is>
          <t>loan_amnt: 12300.0</t>
        </is>
      </c>
      <c r="K17" s="34" t="inlineStr">
        <is>
          <t>verification_status_Source Verified: 1.0</t>
        </is>
      </c>
    </row>
    <row r="18">
      <c r="A18" s="34" t="n">
        <v>1001968</v>
      </c>
      <c r="B18" s="34" t="inlineStr">
        <is>
          <t>B</t>
        </is>
      </c>
      <c r="C18" s="32" t="n">
        <v>12700</v>
      </c>
      <c r="D18" s="31" t="n">
        <v>0.129</v>
      </c>
      <c r="E18" s="43" t="n">
        <v>13.87</v>
      </c>
      <c r="F18" s="31" t="n">
        <v>0.06950000000000001</v>
      </c>
      <c r="G18" s="34" t="n">
        <v>653</v>
      </c>
      <c r="H18" s="44" t="inlineStr">
        <is>
          <t>APPROVED</t>
        </is>
      </c>
      <c r="I18" s="34" t="inlineStr">
        <is>
          <t>purpose_major_purchase: 1.0</t>
        </is>
      </c>
      <c r="J18" s="34" t="inlineStr">
        <is>
          <t>loan_amnt: 12700.0</t>
        </is>
      </c>
      <c r="K18" s="34" t="inlineStr">
        <is>
          <t>verification_status_Source Verified: 1.0</t>
        </is>
      </c>
    </row>
    <row r="19">
      <c r="A19" s="34" t="n">
        <v>1012519</v>
      </c>
      <c r="B19" s="34" t="inlineStr">
        <is>
          <t>B</t>
        </is>
      </c>
      <c r="C19" s="32" t="n">
        <v>11100</v>
      </c>
      <c r="D19" s="31" t="n">
        <v>0.1106</v>
      </c>
      <c r="E19" s="43" t="n">
        <v>12.71</v>
      </c>
      <c r="F19" s="31" t="n">
        <v>0.4042</v>
      </c>
      <c r="G19" s="34" t="n">
        <v>681</v>
      </c>
      <c r="H19" s="44" t="inlineStr">
        <is>
          <t>APPROVED</t>
        </is>
      </c>
      <c r="I19" s="34" t="inlineStr">
        <is>
          <t>open_acc: 16.0</t>
        </is>
      </c>
      <c r="J19" s="34" t="inlineStr">
        <is>
          <t>loan_amnt: 11100.0</t>
        </is>
      </c>
      <c r="K19" s="34" t="inlineStr">
        <is>
          <t>purpose_medical: 0.0</t>
        </is>
      </c>
    </row>
    <row r="20">
      <c r="A20" s="34" t="n">
        <v>1006691</v>
      </c>
      <c r="B20" s="34" t="inlineStr">
        <is>
          <t>D</t>
        </is>
      </c>
      <c r="C20" s="32" t="n">
        <v>7400</v>
      </c>
      <c r="D20" s="31" t="n">
        <v>0.1787</v>
      </c>
      <c r="E20" s="43" t="n">
        <v>20.66</v>
      </c>
      <c r="F20" s="31" t="n">
        <v>0.8325</v>
      </c>
      <c r="G20" s="34" t="n">
        <v>589</v>
      </c>
      <c r="H20" s="45" t="inlineStr">
        <is>
          <t>DECLINED</t>
        </is>
      </c>
      <c r="I20" s="34" t="inlineStr">
        <is>
          <t>revol_util: 83.2</t>
        </is>
      </c>
      <c r="J20" s="34" t="inlineStr">
        <is>
          <t>int_rate: 17.9</t>
        </is>
      </c>
      <c r="K20" s="34" t="inlineStr">
        <is>
          <t>loan_amnt: 7400.0</t>
        </is>
      </c>
    </row>
    <row r="21">
      <c r="A21" s="34" t="n">
        <v>1006922</v>
      </c>
      <c r="B21" s="34" t="inlineStr">
        <is>
          <t>A</t>
        </is>
      </c>
      <c r="C21" s="32" t="n">
        <v>9500</v>
      </c>
      <c r="D21" s="31" t="n">
        <v>0.0683</v>
      </c>
      <c r="E21" s="43" t="n">
        <v>19.15</v>
      </c>
      <c r="F21" s="31" t="n">
        <v>0.373</v>
      </c>
      <c r="G21" s="34" t="n">
        <v>723</v>
      </c>
      <c r="H21" s="44" t="inlineStr">
        <is>
          <t>APPROVED</t>
        </is>
      </c>
      <c r="I21" s="34" t="inlineStr">
        <is>
          <t>loan_amnt: 9500.0</t>
        </is>
      </c>
      <c r="J21" s="34" t="inlineStr">
        <is>
          <t>home_ownership_RENT: 0.0</t>
        </is>
      </c>
      <c r="K21" s="34" t="inlineStr">
        <is>
          <t>verification_status_Source Verified: 1.0</t>
        </is>
      </c>
    </row>
    <row r="22">
      <c r="A22" s="34" t="n">
        <v>1022055</v>
      </c>
      <c r="B22" s="34" t="inlineStr">
        <is>
          <t>C</t>
        </is>
      </c>
      <c r="C22" s="32" t="n">
        <v>11000</v>
      </c>
      <c r="D22" s="31" t="n">
        <v>0.1458</v>
      </c>
      <c r="E22" s="43" t="n">
        <v>27.9</v>
      </c>
      <c r="F22" s="31" t="n">
        <v>0.7548</v>
      </c>
      <c r="G22" s="34" t="n">
        <v>596</v>
      </c>
      <c r="H22" s="45" t="inlineStr">
        <is>
          <t>DECLINED</t>
        </is>
      </c>
      <c r="I22" s="34" t="inlineStr">
        <is>
          <t>dti: 27.9</t>
        </is>
      </c>
      <c r="J22" s="34" t="inlineStr">
        <is>
          <t>revol_util: 75.5</t>
        </is>
      </c>
      <c r="K22" s="34" t="inlineStr">
        <is>
          <t>loan_amnt: 11000.0</t>
        </is>
      </c>
    </row>
    <row r="23">
      <c r="A23" s="34" t="n">
        <v>1024303</v>
      </c>
      <c r="B23" s="34" t="inlineStr">
        <is>
          <t>E</t>
        </is>
      </c>
      <c r="C23" s="32" t="n">
        <v>13500</v>
      </c>
      <c r="D23" s="31" t="n">
        <v>0.2259</v>
      </c>
      <c r="E23" s="43" t="n">
        <v>28.17</v>
      </c>
      <c r="F23" s="31" t="n">
        <v>1.085</v>
      </c>
      <c r="G23" s="34" t="n">
        <v>445</v>
      </c>
      <c r="H23" s="45" t="inlineStr">
        <is>
          <t>DECLINED</t>
        </is>
      </c>
      <c r="I23" s="34" t="inlineStr">
        <is>
          <t>int_rate: 22.6</t>
        </is>
      </c>
      <c r="J23" s="34" t="inlineStr">
        <is>
          <t>revol_util: 108.5</t>
        </is>
      </c>
      <c r="K23" s="34" t="inlineStr">
        <is>
          <t>delinq_2yrs: 1.0</t>
        </is>
      </c>
    </row>
    <row r="24">
      <c r="A24" s="34" t="n">
        <v>1005290</v>
      </c>
      <c r="B24" s="34" t="inlineStr">
        <is>
          <t>D</t>
        </is>
      </c>
      <c r="C24" s="32" t="n">
        <v>8800</v>
      </c>
      <c r="D24" s="31" t="n">
        <v>0.1891</v>
      </c>
      <c r="E24" s="43" t="n">
        <v>28.08</v>
      </c>
      <c r="F24" s="31" t="n">
        <v>0.5717</v>
      </c>
      <c r="G24" s="34" t="n">
        <v>588</v>
      </c>
      <c r="H24" s="45" t="inlineStr">
        <is>
          <t>DECLINED</t>
        </is>
      </c>
      <c r="I24" s="34" t="inlineStr">
        <is>
          <t>int_rate: 18.9</t>
        </is>
      </c>
      <c r="J24" s="34" t="inlineStr">
        <is>
          <t>dti: 28.1</t>
        </is>
      </c>
      <c r="K24" s="34" t="inlineStr">
        <is>
          <t>annual_inc: 42400.0</t>
        </is>
      </c>
    </row>
    <row r="25">
      <c r="A25" s="34" t="n">
        <v>1004082</v>
      </c>
      <c r="B25" s="34" t="inlineStr">
        <is>
          <t>B</t>
        </is>
      </c>
      <c r="C25" s="32" t="n">
        <v>9600</v>
      </c>
      <c r="D25" s="31" t="n">
        <v>0.1142</v>
      </c>
      <c r="E25" s="43" t="n">
        <v>11.2</v>
      </c>
      <c r="F25" s="31" t="n">
        <v>0.4311</v>
      </c>
      <c r="G25" s="34" t="n">
        <v>640</v>
      </c>
      <c r="H25" s="44" t="inlineStr">
        <is>
          <t>APPROVED</t>
        </is>
      </c>
      <c r="I25" s="34" t="inlineStr">
        <is>
          <t>delinq_2yrs: 1.0</t>
        </is>
      </c>
      <c r="J25" s="34" t="inlineStr">
        <is>
          <t>home_ownership_RENT: 0.0</t>
        </is>
      </c>
      <c r="K25" s="34" t="inlineStr">
        <is>
          <t>loan_amnt: 9600.0</t>
        </is>
      </c>
    </row>
    <row r="26">
      <c r="A26" s="34" t="n">
        <v>1020462</v>
      </c>
      <c r="B26" s="34" t="inlineStr">
        <is>
          <t>A</t>
        </is>
      </c>
      <c r="C26" s="32" t="n">
        <v>11100</v>
      </c>
      <c r="D26" s="31" t="n">
        <v>0.0532</v>
      </c>
      <c r="E26" s="43" t="n">
        <v>13.26</v>
      </c>
      <c r="F26" s="31" t="n">
        <v>0.4811</v>
      </c>
      <c r="G26" s="34" t="n">
        <v>699</v>
      </c>
      <c r="H26" s="44" t="inlineStr">
        <is>
          <t>APPROVED</t>
        </is>
      </c>
      <c r="I26" s="34" t="inlineStr">
        <is>
          <t>loan_amnt: 11100.0</t>
        </is>
      </c>
      <c r="J26" s="34" t="inlineStr">
        <is>
          <t>home_ownership_RENT: 1.0</t>
        </is>
      </c>
      <c r="K26" s="34" t="inlineStr">
        <is>
          <t>verification_status_Source Verified: 1.0</t>
        </is>
      </c>
    </row>
    <row r="27">
      <c r="A27" s="34" t="n">
        <v>1020221</v>
      </c>
      <c r="B27" s="34" t="inlineStr">
        <is>
          <t>B</t>
        </is>
      </c>
      <c r="C27" s="32" t="n">
        <v>9200</v>
      </c>
      <c r="D27" s="31" t="n">
        <v>0.1001</v>
      </c>
      <c r="E27" s="43" t="n">
        <v>7.34</v>
      </c>
      <c r="F27" s="31" t="n">
        <v>0.4597</v>
      </c>
      <c r="G27" s="34" t="n">
        <v>684</v>
      </c>
      <c r="H27" s="44" t="inlineStr">
        <is>
          <t>APPROVED</t>
        </is>
      </c>
      <c r="I27" s="34" t="inlineStr">
        <is>
          <t>home_ownership_RENT: 0.0</t>
        </is>
      </c>
      <c r="J27" s="34" t="inlineStr">
        <is>
          <t>loan_amnt: 9200.0</t>
        </is>
      </c>
      <c r="K27" s="34" t="inlineStr">
        <is>
          <t>verification_status_Source Verified: 1.0</t>
        </is>
      </c>
    </row>
    <row r="28">
      <c r="A28" s="34" t="n">
        <v>1019967</v>
      </c>
      <c r="B28" s="34" t="inlineStr">
        <is>
          <t>D</t>
        </is>
      </c>
      <c r="C28" s="32" t="n">
        <v>9300</v>
      </c>
      <c r="D28" s="31" t="n">
        <v>0.1831</v>
      </c>
      <c r="E28" s="43" t="n">
        <v>9.15</v>
      </c>
      <c r="F28" s="31" t="n">
        <v>0.7365</v>
      </c>
      <c r="G28" s="34" t="n">
        <v>536</v>
      </c>
      <c r="H28" s="45" t="inlineStr">
        <is>
          <t>DECLINED</t>
        </is>
      </c>
      <c r="I28" s="34" t="inlineStr">
        <is>
          <t>int_rate: 18.3</t>
        </is>
      </c>
      <c r="J28" s="34" t="inlineStr">
        <is>
          <t>delinq_2yrs: 1.0</t>
        </is>
      </c>
      <c r="K28" s="34" t="inlineStr">
        <is>
          <t>revol_util: 73.7</t>
        </is>
      </c>
    </row>
    <row r="29">
      <c r="A29" s="34" t="n">
        <v>1012596</v>
      </c>
      <c r="B29" s="34" t="inlineStr">
        <is>
          <t>A</t>
        </is>
      </c>
      <c r="C29" s="32" t="n">
        <v>9600</v>
      </c>
      <c r="D29" s="31" t="n">
        <v>0.0718</v>
      </c>
      <c r="E29" s="43" t="n">
        <v>7.86</v>
      </c>
      <c r="F29" s="31" t="n">
        <v>0.5725</v>
      </c>
      <c r="G29" s="34" t="n">
        <v>701</v>
      </c>
      <c r="H29" s="44" t="inlineStr">
        <is>
          <t>APPROVED</t>
        </is>
      </c>
      <c r="I29" s="34" t="inlineStr">
        <is>
          <t>inq_last_6mths: 3.0</t>
        </is>
      </c>
      <c r="J29" s="34" t="inlineStr">
        <is>
          <t>annual_inc: 48500.0</t>
        </is>
      </c>
      <c r="K29" s="34" t="inlineStr">
        <is>
          <t>home_ownership_RENT: 0.0</t>
        </is>
      </c>
    </row>
    <row r="30">
      <c r="A30" s="34" t="n">
        <v>1000319</v>
      </c>
      <c r="B30" s="34" t="inlineStr">
        <is>
          <t>A</t>
        </is>
      </c>
      <c r="C30" s="32" t="n">
        <v>13300</v>
      </c>
      <c r="D30" s="31" t="n">
        <v>0.05860000000000001</v>
      </c>
      <c r="E30" s="43" t="n">
        <v>17.54</v>
      </c>
      <c r="F30" s="31" t="n">
        <v>0.4505</v>
      </c>
      <c r="G30" s="34" t="n">
        <v>698</v>
      </c>
      <c r="H30" s="44" t="inlineStr">
        <is>
          <t>APPROVED</t>
        </is>
      </c>
      <c r="I30" s="34" t="inlineStr">
        <is>
          <t>delinq_2yrs: 1.0</t>
        </is>
      </c>
      <c r="J30" s="34" t="inlineStr">
        <is>
          <t>loan_amnt: 13300.0</t>
        </is>
      </c>
      <c r="K30" s="34" t="inlineStr">
        <is>
          <t>purpose_credit_card: 1.0</t>
        </is>
      </c>
    </row>
    <row r="31">
      <c r="A31" s="34" t="n">
        <v>1008770</v>
      </c>
      <c r="B31" s="34" t="inlineStr">
        <is>
          <t>A</t>
        </is>
      </c>
      <c r="C31" s="32" t="n">
        <v>29100</v>
      </c>
      <c r="D31" s="31" t="n">
        <v>0.0538</v>
      </c>
      <c r="E31" s="43" t="n">
        <v>20</v>
      </c>
      <c r="F31" s="31" t="n">
        <v>0.4955</v>
      </c>
      <c r="G31" s="34" t="n">
        <v>719</v>
      </c>
      <c r="H31" s="44" t="inlineStr">
        <is>
          <t>APPROVED</t>
        </is>
      </c>
      <c r="I31" s="34" t="inlineStr">
        <is>
          <t>home_ownership_RENT: 1.0</t>
        </is>
      </c>
      <c r="J31" s="34" t="inlineStr">
        <is>
          <t>annual_inc: 67600.0</t>
        </is>
      </c>
      <c r="K31" s="34" t="inlineStr">
        <is>
          <t>purpose_medical: 0.0</t>
        </is>
      </c>
    </row>
    <row r="32">
      <c r="A32" s="34" t="n">
        <v>1010474</v>
      </c>
      <c r="B32" s="34" t="inlineStr">
        <is>
          <t>A</t>
        </is>
      </c>
      <c r="C32" s="32" t="n">
        <v>21000</v>
      </c>
      <c r="D32" s="31" t="n">
        <v>0.0694</v>
      </c>
      <c r="E32" s="43" t="n">
        <v>8.27</v>
      </c>
      <c r="F32" s="31" t="n">
        <v>0.3267</v>
      </c>
      <c r="G32" s="34" t="n">
        <v>735</v>
      </c>
      <c r="H32" s="44" t="inlineStr">
        <is>
          <t>APPROVED</t>
        </is>
      </c>
      <c r="I32" s="34" t="inlineStr">
        <is>
          <t>home_ownership_RENT: 0.0</t>
        </is>
      </c>
      <c r="J32" s="34" t="inlineStr">
        <is>
          <t>annual_inc: 36400.0</t>
        </is>
      </c>
      <c r="K32" s="34" t="inlineStr">
        <is>
          <t>purpose_medical: 0.0</t>
        </is>
      </c>
    </row>
    <row r="33">
      <c r="A33" s="34" t="n">
        <v>1022584</v>
      </c>
      <c r="B33" s="34" t="inlineStr">
        <is>
          <t>D</t>
        </is>
      </c>
      <c r="C33" s="32" t="n">
        <v>8900</v>
      </c>
      <c r="D33" s="31" t="n">
        <v>0.1911</v>
      </c>
      <c r="E33" s="43" t="n">
        <v>12.85</v>
      </c>
      <c r="F33" s="31" t="n">
        <v>0.6724</v>
      </c>
      <c r="G33" s="34" t="n">
        <v>573</v>
      </c>
      <c r="H33" s="45" t="inlineStr">
        <is>
          <t>DECLINED</t>
        </is>
      </c>
      <c r="I33" s="34" t="inlineStr">
        <is>
          <t>int_rate: 19.1</t>
        </is>
      </c>
      <c r="J33" s="34" t="inlineStr">
        <is>
          <t>revol_util: 67.2</t>
        </is>
      </c>
      <c r="K33" s="34" t="inlineStr">
        <is>
          <t>loan_amnt: 8900.0</t>
        </is>
      </c>
    </row>
    <row r="34">
      <c r="A34" s="34" t="n">
        <v>1022660</v>
      </c>
      <c r="B34" s="34" t="inlineStr">
        <is>
          <t>B</t>
        </is>
      </c>
      <c r="C34" s="32" t="n">
        <v>4700</v>
      </c>
      <c r="D34" s="31" t="n">
        <v>0.1187</v>
      </c>
      <c r="E34" s="43" t="n">
        <v>5.14</v>
      </c>
      <c r="F34" s="31" t="n">
        <v>0.413</v>
      </c>
      <c r="G34" s="34" t="n">
        <v>699</v>
      </c>
      <c r="H34" s="44" t="inlineStr">
        <is>
          <t>APPROVED</t>
        </is>
      </c>
      <c r="I34" s="34" t="inlineStr">
        <is>
          <t>home_ownership_RENT: 0.0</t>
        </is>
      </c>
      <c r="J34" s="34" t="inlineStr">
        <is>
          <t>purpose_medical: 0.0</t>
        </is>
      </c>
      <c r="K34" s="34" t="inlineStr">
        <is>
          <t>purpose_small_business: 0.0</t>
        </is>
      </c>
    </row>
    <row r="35">
      <c r="A35" s="34" t="n">
        <v>1000654</v>
      </c>
      <c r="B35" s="34" t="inlineStr">
        <is>
          <t>D</t>
        </is>
      </c>
      <c r="C35" s="32" t="n">
        <v>6600</v>
      </c>
      <c r="D35" s="31" t="n">
        <v>0.2039</v>
      </c>
      <c r="E35" s="43" t="n">
        <v>21.79</v>
      </c>
      <c r="F35" s="31" t="n">
        <v>0.6731999999999999</v>
      </c>
      <c r="G35" s="34" t="n">
        <v>562</v>
      </c>
      <c r="H35" s="45" t="inlineStr">
        <is>
          <t>DECLINED</t>
        </is>
      </c>
      <c r="I35" s="34" t="inlineStr">
        <is>
          <t>int_rate: 20.4</t>
        </is>
      </c>
      <c r="J35" s="34" t="inlineStr">
        <is>
          <t>revol_util: 67.3</t>
        </is>
      </c>
      <c r="K35" s="34" t="inlineStr">
        <is>
          <t>dti: 21.8</t>
        </is>
      </c>
    </row>
    <row r="36">
      <c r="A36" s="34" t="n">
        <v>1004014</v>
      </c>
      <c r="B36" s="34" t="inlineStr">
        <is>
          <t>B</t>
        </is>
      </c>
      <c r="C36" s="32" t="n">
        <v>12600</v>
      </c>
      <c r="D36" s="31" t="n">
        <v>0.1055</v>
      </c>
      <c r="E36" s="43" t="n">
        <v>1.82</v>
      </c>
      <c r="F36" s="31" t="n">
        <v>0.4338</v>
      </c>
      <c r="G36" s="34" t="n">
        <v>679</v>
      </c>
      <c r="H36" s="44" t="inlineStr">
        <is>
          <t>APPROVED</t>
        </is>
      </c>
      <c r="I36" s="34" t="inlineStr">
        <is>
          <t>home_ownership_RENT: 0.0</t>
        </is>
      </c>
      <c r="J36" s="34" t="inlineStr">
        <is>
          <t>purpose_home_improvement: 1.0</t>
        </is>
      </c>
      <c r="K36" s="34" t="inlineStr">
        <is>
          <t>loan_amnt: 12600.0</t>
        </is>
      </c>
    </row>
    <row r="37">
      <c r="A37" s="34" t="n">
        <v>1003473</v>
      </c>
      <c r="B37" s="34" t="inlineStr">
        <is>
          <t>C</t>
        </is>
      </c>
      <c r="C37" s="32" t="n">
        <v>14500</v>
      </c>
      <c r="D37" s="31" t="n">
        <v>0.1599</v>
      </c>
      <c r="E37" s="43" t="n">
        <v>35.39</v>
      </c>
      <c r="F37" s="31" t="n">
        <v>0.6296</v>
      </c>
      <c r="G37" s="34" t="n">
        <v>570</v>
      </c>
      <c r="H37" s="45" t="inlineStr">
        <is>
          <t>DECLINED</t>
        </is>
      </c>
      <c r="I37" s="34" t="inlineStr">
        <is>
          <t>dti: 35.4</t>
        </is>
      </c>
      <c r="J37" s="34" t="inlineStr">
        <is>
          <t>inq_last_6mths: 2.0</t>
        </is>
      </c>
      <c r="K37" s="34" t="inlineStr">
        <is>
          <t>revol_util: 63.0</t>
        </is>
      </c>
    </row>
    <row r="38">
      <c r="A38" s="34" t="n">
        <v>1011727</v>
      </c>
      <c r="B38" s="34" t="inlineStr">
        <is>
          <t>B</t>
        </is>
      </c>
      <c r="C38" s="32" t="n">
        <v>39700</v>
      </c>
      <c r="D38" s="31" t="n">
        <v>0.1165</v>
      </c>
      <c r="E38" s="43" t="n">
        <v>4.26</v>
      </c>
      <c r="F38" s="31" t="n">
        <v>0.4059</v>
      </c>
      <c r="G38" s="34" t="n">
        <v>691</v>
      </c>
      <c r="H38" s="44" t="inlineStr">
        <is>
          <t>APPROVED</t>
        </is>
      </c>
      <c r="I38" s="34" t="inlineStr">
        <is>
          <t>inq_last_6mths: 2.0</t>
        </is>
      </c>
      <c r="J38" s="34" t="inlineStr">
        <is>
          <t>purpose_debt_consolidation: 0.0</t>
        </is>
      </c>
      <c r="K38" s="34" t="inlineStr">
        <is>
          <t>home_ownership_RENT: 0.0</t>
        </is>
      </c>
    </row>
    <row r="39">
      <c r="A39" s="34" t="n">
        <v>1011202</v>
      </c>
      <c r="B39" s="34" t="inlineStr">
        <is>
          <t>B</t>
        </is>
      </c>
      <c r="C39" s="32" t="n">
        <v>25100</v>
      </c>
      <c r="D39" s="31" t="n">
        <v>0.1197</v>
      </c>
      <c r="E39" s="43" t="n">
        <v>24.42</v>
      </c>
      <c r="F39" s="31" t="n">
        <v>0.3136</v>
      </c>
      <c r="G39" s="34" t="n">
        <v>667</v>
      </c>
      <c r="H39" s="44" t="inlineStr">
        <is>
          <t>APPROVED</t>
        </is>
      </c>
      <c r="I39" s="34" t="inlineStr">
        <is>
          <t>dti: 24.4</t>
        </is>
      </c>
      <c r="J39" s="34" t="inlineStr">
        <is>
          <t>home_ownership_RENT: 0.0</t>
        </is>
      </c>
      <c r="K39" s="34" t="inlineStr">
        <is>
          <t>verification_status_Source Verified: 1.0</t>
        </is>
      </c>
    </row>
    <row r="40">
      <c r="A40" s="34" t="n">
        <v>1011046</v>
      </c>
      <c r="B40" s="34" t="inlineStr">
        <is>
          <t>C</t>
        </is>
      </c>
      <c r="C40" s="32" t="n">
        <v>8300</v>
      </c>
      <c r="D40" s="31" t="n">
        <v>0.1503</v>
      </c>
      <c r="E40" s="43" t="n">
        <v>21.5</v>
      </c>
      <c r="F40" s="31" t="n">
        <v>0.7570999999999999</v>
      </c>
      <c r="G40" s="34" t="n">
        <v>578</v>
      </c>
      <c r="H40" s="45" t="inlineStr">
        <is>
          <t>DECLINED</t>
        </is>
      </c>
      <c r="I40" s="34" t="inlineStr">
        <is>
          <t>revol_util: 75.7</t>
        </is>
      </c>
      <c r="J40" s="34" t="inlineStr">
        <is>
          <t>inq_last_6mths: 3.0</t>
        </is>
      </c>
      <c r="K40" s="34" t="inlineStr">
        <is>
          <t>loan_amnt: 8300.0</t>
        </is>
      </c>
    </row>
    <row r="41">
      <c r="A41" s="34" t="n">
        <v>1010288</v>
      </c>
      <c r="B41" s="34" t="inlineStr">
        <is>
          <t>A</t>
        </is>
      </c>
      <c r="C41" s="32" t="n">
        <v>5800</v>
      </c>
      <c r="D41" s="31" t="n">
        <v>0.05690000000000001</v>
      </c>
      <c r="E41" s="43" t="n">
        <v>11.17</v>
      </c>
      <c r="F41" s="31" t="n">
        <v>0.4359</v>
      </c>
      <c r="G41" s="34" t="n">
        <v>678</v>
      </c>
      <c r="H41" s="44" t="inlineStr">
        <is>
          <t>APPROVED</t>
        </is>
      </c>
      <c r="I41" s="34" t="inlineStr">
        <is>
          <t>inq_last_6mths: 4.0</t>
        </is>
      </c>
      <c r="J41" s="34" t="inlineStr">
        <is>
          <t>open_acc: 17.0</t>
        </is>
      </c>
      <c r="K41" s="34" t="inlineStr">
        <is>
          <t>home_ownership_RENT: 0.0</t>
        </is>
      </c>
    </row>
    <row r="42">
      <c r="A42" s="34" t="n">
        <v>1002516</v>
      </c>
      <c r="B42" s="34" t="inlineStr">
        <is>
          <t>E</t>
        </is>
      </c>
      <c r="C42" s="32" t="n">
        <v>16400</v>
      </c>
      <c r="D42" s="31" t="n">
        <v>0.2363</v>
      </c>
      <c r="E42" s="43" t="n">
        <v>30.48</v>
      </c>
      <c r="F42" s="31" t="n">
        <v>1.085</v>
      </c>
      <c r="G42" s="34" t="n">
        <v>484</v>
      </c>
      <c r="H42" s="45" t="inlineStr">
        <is>
          <t>DECLINED</t>
        </is>
      </c>
      <c r="I42" s="34" t="inlineStr">
        <is>
          <t>int_rate: 23.6</t>
        </is>
      </c>
      <c r="J42" s="34" t="inlineStr">
        <is>
          <t>revol_util: 108.5</t>
        </is>
      </c>
      <c r="K42" s="34" t="inlineStr">
        <is>
          <t>dti: 30.5</t>
        </is>
      </c>
    </row>
    <row r="43">
      <c r="A43" s="34" t="n">
        <v>1004295</v>
      </c>
      <c r="B43" s="34" t="inlineStr">
        <is>
          <t>B</t>
        </is>
      </c>
      <c r="C43" s="32" t="n">
        <v>10300</v>
      </c>
      <c r="D43" s="31" t="n">
        <v>0.1051</v>
      </c>
      <c r="E43" s="43" t="n">
        <v>21.38</v>
      </c>
      <c r="F43" s="31" t="n">
        <v>0.3432</v>
      </c>
      <c r="G43" s="34" t="n">
        <v>663</v>
      </c>
      <c r="H43" s="44" t="inlineStr">
        <is>
          <t>APPROVED</t>
        </is>
      </c>
      <c r="I43" s="34" t="inlineStr">
        <is>
          <t>inq_last_6mths: 1.0</t>
        </is>
      </c>
      <c r="J43" s="34" t="inlineStr">
        <is>
          <t>loan_amnt: 10300.0</t>
        </is>
      </c>
      <c r="K43" s="34" t="inlineStr">
        <is>
          <t>verification_status_Source Verified: 1.0</t>
        </is>
      </c>
    </row>
    <row r="44">
      <c r="A44" s="34" t="n">
        <v>1018819</v>
      </c>
      <c r="B44" s="34" t="inlineStr">
        <is>
          <t>B</t>
        </is>
      </c>
      <c r="C44" s="32" t="n">
        <v>13800</v>
      </c>
      <c r="D44" s="31" t="n">
        <v>0.1273</v>
      </c>
      <c r="E44" s="43" t="n">
        <v>18.17</v>
      </c>
      <c r="F44" s="31" t="n">
        <v>0.2338</v>
      </c>
      <c r="G44" s="34" t="n">
        <v>666</v>
      </c>
      <c r="H44" s="44" t="inlineStr">
        <is>
          <t>APPROVED</t>
        </is>
      </c>
      <c r="I44" s="34" t="inlineStr">
        <is>
          <t>loan_amnt: 13800.0</t>
        </is>
      </c>
      <c r="J44" s="34" t="inlineStr">
        <is>
          <t>annual_inc: 67800.0</t>
        </is>
      </c>
      <c r="K44" s="34" t="inlineStr">
        <is>
          <t>dti: 18.2</t>
        </is>
      </c>
    </row>
    <row r="45">
      <c r="A45" s="34" t="n">
        <v>1010087</v>
      </c>
      <c r="B45" s="34" t="inlineStr">
        <is>
          <t>C</t>
        </is>
      </c>
      <c r="C45" s="32" t="n">
        <v>18000</v>
      </c>
      <c r="D45" s="31" t="n">
        <v>0.1616</v>
      </c>
      <c r="E45" s="43" t="n">
        <v>28.69</v>
      </c>
      <c r="F45" s="31" t="n">
        <v>0.4793</v>
      </c>
      <c r="G45" s="34" t="n">
        <v>604</v>
      </c>
      <c r="H45" s="45" t="inlineStr">
        <is>
          <t>DECLINED</t>
        </is>
      </c>
      <c r="I45" s="34" t="inlineStr">
        <is>
          <t>dti: 28.7</t>
        </is>
      </c>
      <c r="J45" s="34" t="inlineStr">
        <is>
          <t>inq_last_6mths: 1.0</t>
        </is>
      </c>
      <c r="K45" s="34" t="inlineStr">
        <is>
          <t>int_rate: 16.2</t>
        </is>
      </c>
    </row>
    <row r="46">
      <c r="A46" s="34" t="n">
        <v>1009414</v>
      </c>
      <c r="B46" s="34" t="inlineStr">
        <is>
          <t>A</t>
        </is>
      </c>
      <c r="C46" s="32" t="n">
        <v>15600</v>
      </c>
      <c r="D46" s="31" t="n">
        <v>0.09179999999999999</v>
      </c>
      <c r="E46" s="43" t="n">
        <v>16.91</v>
      </c>
      <c r="F46" s="31" t="n">
        <v>0.2519</v>
      </c>
      <c r="G46" s="34" t="n">
        <v>719</v>
      </c>
      <c r="H46" s="44" t="inlineStr">
        <is>
          <t>APPROVED</t>
        </is>
      </c>
      <c r="I46" s="34" t="inlineStr">
        <is>
          <t>home_ownership_RENT: 0.0</t>
        </is>
      </c>
      <c r="J46" s="34" t="inlineStr">
        <is>
          <t>purpose_medical: 0.0</t>
        </is>
      </c>
      <c r="K46" s="34" t="inlineStr">
        <is>
          <t>verification_status_Verified: 1.0</t>
        </is>
      </c>
    </row>
    <row r="47">
      <c r="A47" s="34" t="n">
        <v>1000001</v>
      </c>
      <c r="B47" s="34" t="inlineStr">
        <is>
          <t>B</t>
        </is>
      </c>
      <c r="C47" s="32" t="n">
        <v>12900</v>
      </c>
      <c r="D47" s="31" t="n">
        <v>0.1105</v>
      </c>
      <c r="E47" s="43" t="n">
        <v>16.43</v>
      </c>
      <c r="F47" s="31" t="n">
        <v>0.4447</v>
      </c>
      <c r="G47" s="34" t="n">
        <v>668</v>
      </c>
      <c r="H47" s="44" t="inlineStr">
        <is>
          <t>APPROVED</t>
        </is>
      </c>
      <c r="I47" s="34" t="inlineStr">
        <is>
          <t>home_ownership_RENT: 0.0</t>
        </is>
      </c>
      <c r="J47" s="34" t="inlineStr">
        <is>
          <t>loan_amnt: 12900.0</t>
        </is>
      </c>
      <c r="K47" s="34" t="inlineStr">
        <is>
          <t>purpose_medical: 0.0</t>
        </is>
      </c>
    </row>
    <row r="48">
      <c r="A48" s="34" t="n">
        <v>1015346</v>
      </c>
      <c r="B48" s="34" t="inlineStr">
        <is>
          <t>D</t>
        </is>
      </c>
      <c r="C48" s="32" t="n">
        <v>6400</v>
      </c>
      <c r="D48" s="31" t="n">
        <v>0.1847</v>
      </c>
      <c r="E48" s="43" t="n">
        <v>22.69</v>
      </c>
      <c r="F48" s="31" t="n">
        <v>0.5164</v>
      </c>
      <c r="G48" s="34" t="n">
        <v>624</v>
      </c>
      <c r="H48" s="45" t="inlineStr">
        <is>
          <t>DECLINED</t>
        </is>
      </c>
      <c r="I48" s="34" t="inlineStr">
        <is>
          <t>int_rate: 18.5</t>
        </is>
      </c>
      <c r="J48" s="34" t="inlineStr">
        <is>
          <t>dti: 22.7</t>
        </is>
      </c>
      <c r="K48" s="34" t="inlineStr">
        <is>
          <t>open_acc: 16.0</t>
        </is>
      </c>
    </row>
    <row r="49">
      <c r="A49" s="34" t="n">
        <v>1017080</v>
      </c>
      <c r="B49" s="34" t="inlineStr">
        <is>
          <t>E</t>
        </is>
      </c>
      <c r="C49" s="32" t="n">
        <v>25600</v>
      </c>
      <c r="D49" s="31" t="n">
        <v>0.2315</v>
      </c>
      <c r="E49" s="43" t="n">
        <v>18.47</v>
      </c>
      <c r="F49" s="31" t="n">
        <v>0.6392</v>
      </c>
      <c r="G49" s="34" t="n">
        <v>552</v>
      </c>
      <c r="H49" s="45" t="inlineStr">
        <is>
          <t>DECLINED</t>
        </is>
      </c>
      <c r="I49" s="34" t="inlineStr">
        <is>
          <t>int_rate: 23.1</t>
        </is>
      </c>
      <c r="J49" s="34" t="inlineStr">
        <is>
          <t>inq_last_6mths: 4.0</t>
        </is>
      </c>
      <c r="K49" s="34" t="inlineStr">
        <is>
          <t>home_ownership_RENT: 0.0</t>
        </is>
      </c>
    </row>
    <row r="50">
      <c r="A50" s="34" t="n">
        <v>1016085</v>
      </c>
      <c r="B50" s="34" t="inlineStr">
        <is>
          <t>D</t>
        </is>
      </c>
      <c r="C50" s="32" t="n">
        <v>7900</v>
      </c>
      <c r="D50" s="31" t="n">
        <v>0.1858</v>
      </c>
      <c r="E50" s="43" t="n">
        <v>15.62</v>
      </c>
      <c r="F50" s="31" t="n">
        <v>0.4393</v>
      </c>
      <c r="G50" s="34" t="n">
        <v>624</v>
      </c>
      <c r="H50" s="45" t="inlineStr">
        <is>
          <t>DECLINED</t>
        </is>
      </c>
      <c r="I50" s="34" t="inlineStr">
        <is>
          <t>int_rate: 18.6</t>
        </is>
      </c>
      <c r="J50" s="34" t="inlineStr">
        <is>
          <t>loan_amnt: 7900.0</t>
        </is>
      </c>
      <c r="K50" s="34" t="inlineStr">
        <is>
          <t>verification_status_Source Verified: 1.0</t>
        </is>
      </c>
    </row>
    <row r="51">
      <c r="A51" s="34" t="n">
        <v>1017230</v>
      </c>
      <c r="B51" s="34" t="inlineStr">
        <is>
          <t>A</t>
        </is>
      </c>
      <c r="C51" s="32" t="n">
        <v>23200</v>
      </c>
      <c r="D51" s="31" t="n">
        <v>0.07200000000000001</v>
      </c>
      <c r="E51" s="43" t="n">
        <v>15.47</v>
      </c>
      <c r="F51" s="31" t="n">
        <v>0.5695</v>
      </c>
      <c r="G51" s="34" t="n">
        <v>730</v>
      </c>
      <c r="H51" s="44" t="inlineStr">
        <is>
          <t>APPROVED</t>
        </is>
      </c>
      <c r="I51" s="34" t="inlineStr">
        <is>
          <t>home_ownership_RENT: 0.0</t>
        </is>
      </c>
      <c r="J51" s="34" t="inlineStr">
        <is>
          <t>verification_status_Source Verified: 1.0</t>
        </is>
      </c>
      <c r="K51" s="34" t="inlineStr">
        <is>
          <t>verification_status_Verified: 0.0</t>
        </is>
      </c>
    </row>
    <row r="52">
      <c r="A52" s="34" t="n">
        <v>1009877</v>
      </c>
      <c r="B52" s="34" t="inlineStr">
        <is>
          <t>A</t>
        </is>
      </c>
      <c r="C52" s="32" t="n">
        <v>14300</v>
      </c>
      <c r="D52" s="31" t="n">
        <v>0.05980000000000001</v>
      </c>
      <c r="E52" s="43" t="n">
        <v>23.98</v>
      </c>
      <c r="F52" s="31" t="n">
        <v>0.4552</v>
      </c>
      <c r="G52" s="34" t="n">
        <v>715</v>
      </c>
      <c r="H52" s="44" t="inlineStr">
        <is>
          <t>APPROVED</t>
        </is>
      </c>
      <c r="I52" s="34" t="inlineStr">
        <is>
          <t>dti: 24.0</t>
        </is>
      </c>
      <c r="J52" s="34" t="inlineStr">
        <is>
          <t>annual_inc: 42700.0</t>
        </is>
      </c>
      <c r="K52" s="34" t="inlineStr">
        <is>
          <t>verification_status_Source Verified: 1.0</t>
        </is>
      </c>
    </row>
    <row r="53">
      <c r="A53" s="34" t="n">
        <v>1021371</v>
      </c>
      <c r="B53" s="34" t="inlineStr">
        <is>
          <t>C</t>
        </is>
      </c>
      <c r="C53" s="32" t="n">
        <v>8300</v>
      </c>
      <c r="D53" s="31" t="n">
        <v>0.1478</v>
      </c>
      <c r="E53" s="43" t="n">
        <v>17.18</v>
      </c>
      <c r="F53" s="31" t="n">
        <v>0.3914</v>
      </c>
      <c r="G53" s="34" t="n">
        <v>640</v>
      </c>
      <c r="H53" s="44" t="inlineStr">
        <is>
          <t>APPROVED</t>
        </is>
      </c>
      <c r="I53" s="34" t="inlineStr">
        <is>
          <t>loan_amnt: 8300.0</t>
        </is>
      </c>
      <c r="J53" s="34" t="inlineStr">
        <is>
          <t>home_ownership_RENT: 0.0</t>
        </is>
      </c>
      <c r="K53" s="34" t="inlineStr">
        <is>
          <t>annual_inc: 36900.0</t>
        </is>
      </c>
    </row>
    <row r="54">
      <c r="A54" s="34" t="n">
        <v>1019957</v>
      </c>
      <c r="B54" s="34" t="inlineStr">
        <is>
          <t>D</t>
        </is>
      </c>
      <c r="C54" s="32" t="n">
        <v>9100</v>
      </c>
      <c r="D54" s="31" t="n">
        <v>0.1811</v>
      </c>
      <c r="E54" s="43" t="n">
        <v>19.49</v>
      </c>
      <c r="F54" s="31" t="n">
        <v>0.5061</v>
      </c>
      <c r="G54" s="34" t="n">
        <v>605</v>
      </c>
      <c r="H54" s="45" t="inlineStr">
        <is>
          <t>DECLINED</t>
        </is>
      </c>
      <c r="I54" s="34" t="inlineStr">
        <is>
          <t>int_rate: 18.1</t>
        </is>
      </c>
      <c r="J54" s="34" t="inlineStr">
        <is>
          <t>annual_inc: 40200.0</t>
        </is>
      </c>
      <c r="K54" s="34" t="inlineStr">
        <is>
          <t>loan_amnt: 9100.0</t>
        </is>
      </c>
    </row>
    <row r="55">
      <c r="A55" s="34" t="n">
        <v>1014893</v>
      </c>
      <c r="B55" s="34" t="inlineStr">
        <is>
          <t>A</t>
        </is>
      </c>
      <c r="C55" s="32" t="n">
        <v>13000</v>
      </c>
      <c r="D55" s="31" t="n">
        <v>0.07389999999999999</v>
      </c>
      <c r="E55" s="43" t="n">
        <v>13.18</v>
      </c>
      <c r="F55" s="31" t="n">
        <v>0.2385</v>
      </c>
      <c r="G55" s="34" t="n">
        <v>722</v>
      </c>
      <c r="H55" s="44" t="inlineStr">
        <is>
          <t>APPROVED</t>
        </is>
      </c>
      <c r="I55" s="34" t="inlineStr">
        <is>
          <t>loan_amnt: 13000.0</t>
        </is>
      </c>
      <c r="J55" s="34" t="inlineStr">
        <is>
          <t>home_ownership_RENT: 0.0</t>
        </is>
      </c>
      <c r="K55" s="34" t="inlineStr">
        <is>
          <t>inq_last_6mths: 1.0</t>
        </is>
      </c>
    </row>
    <row r="56">
      <c r="A56" s="34" t="n">
        <v>1022692</v>
      </c>
      <c r="B56" s="34" t="inlineStr">
        <is>
          <t>G</t>
        </is>
      </c>
      <c r="C56" s="32" t="n">
        <v>9000</v>
      </c>
      <c r="D56" s="31" t="n">
        <v>0.3099</v>
      </c>
      <c r="E56" s="43" t="n">
        <v>26.52</v>
      </c>
      <c r="F56" s="31" t="n">
        <v>0.7092000000000001</v>
      </c>
      <c r="G56" s="34" t="n">
        <v>448</v>
      </c>
      <c r="H56" s="45" t="inlineStr">
        <is>
          <t>DECLINED</t>
        </is>
      </c>
      <c r="I56" s="34" t="inlineStr">
        <is>
          <t>int_rate: 31.0</t>
        </is>
      </c>
      <c r="J56" s="34" t="inlineStr">
        <is>
          <t>delinq_2yrs: 1.0</t>
        </is>
      </c>
      <c r="K56" s="34" t="inlineStr">
        <is>
          <t>dti: 26.5</t>
        </is>
      </c>
    </row>
    <row r="57">
      <c r="A57" s="34" t="n">
        <v>1003690</v>
      </c>
      <c r="B57" s="34" t="inlineStr">
        <is>
          <t>A</t>
        </is>
      </c>
      <c r="C57" s="32" t="n">
        <v>7800</v>
      </c>
      <c r="D57" s="31" t="n">
        <v>0.0646</v>
      </c>
      <c r="E57" s="43" t="n">
        <v>6.74</v>
      </c>
      <c r="F57" s="31" t="n">
        <v>0.3423</v>
      </c>
      <c r="G57" s="34" t="n">
        <v>722</v>
      </c>
      <c r="H57" s="44" t="inlineStr">
        <is>
          <t>APPROVED</t>
        </is>
      </c>
      <c r="I57" s="34" t="inlineStr">
        <is>
          <t>loan_amnt: 7800.0</t>
        </is>
      </c>
      <c r="J57" s="34" t="inlineStr">
        <is>
          <t>home_ownership_RENT: 0.0</t>
        </is>
      </c>
      <c r="K57" s="34" t="inlineStr">
        <is>
          <t>open_acc: 6.0</t>
        </is>
      </c>
    </row>
    <row r="58">
      <c r="A58" s="34" t="n">
        <v>1010188</v>
      </c>
      <c r="B58" s="34" t="inlineStr">
        <is>
          <t>E</t>
        </is>
      </c>
      <c r="C58" s="32" t="n">
        <v>15800</v>
      </c>
      <c r="D58" s="31" t="n">
        <v>0.2416</v>
      </c>
      <c r="E58" s="43" t="n">
        <v>18.09</v>
      </c>
      <c r="F58" s="31" t="n">
        <v>0.7759999999999999</v>
      </c>
      <c r="G58" s="34" t="n">
        <v>542</v>
      </c>
      <c r="H58" s="45" t="inlineStr">
        <is>
          <t>DECLINED</t>
        </is>
      </c>
      <c r="I58" s="34" t="inlineStr">
        <is>
          <t>int_rate: 24.2</t>
        </is>
      </c>
      <c r="J58" s="34" t="inlineStr">
        <is>
          <t>revol_util: 77.6</t>
        </is>
      </c>
      <c r="K58" s="34" t="inlineStr">
        <is>
          <t>loan_amnt: 15800.0</t>
        </is>
      </c>
    </row>
    <row r="59">
      <c r="A59" s="34" t="n">
        <v>1004880</v>
      </c>
      <c r="B59" s="34" t="inlineStr">
        <is>
          <t>D</t>
        </is>
      </c>
      <c r="C59" s="32" t="n">
        <v>11200</v>
      </c>
      <c r="D59" s="31" t="n">
        <v>0.1732</v>
      </c>
      <c r="E59" s="43" t="n">
        <v>24.02</v>
      </c>
      <c r="F59" s="31" t="n">
        <v>0.8623999999999999</v>
      </c>
      <c r="G59" s="34" t="n">
        <v>581</v>
      </c>
      <c r="H59" s="45" t="inlineStr">
        <is>
          <t>DECLINED</t>
        </is>
      </c>
      <c r="I59" s="34" t="inlineStr">
        <is>
          <t>revol_util: 86.2</t>
        </is>
      </c>
      <c r="J59" s="34" t="inlineStr">
        <is>
          <t>dti: 24.0</t>
        </is>
      </c>
      <c r="K59" s="34" t="inlineStr">
        <is>
          <t>int_rate: 17.3</t>
        </is>
      </c>
    </row>
    <row r="60">
      <c r="A60" s="34" t="n">
        <v>1011329</v>
      </c>
      <c r="B60" s="34" t="inlineStr">
        <is>
          <t>D</t>
        </is>
      </c>
      <c r="C60" s="32" t="n">
        <v>19100</v>
      </c>
      <c r="D60" s="31" t="n">
        <v>0.1897</v>
      </c>
      <c r="E60" s="43" t="n">
        <v>16.02</v>
      </c>
      <c r="F60" s="31" t="n">
        <v>0.5434</v>
      </c>
      <c r="G60" s="34" t="n">
        <v>599</v>
      </c>
      <c r="H60" s="45" t="inlineStr">
        <is>
          <t>DECLINED</t>
        </is>
      </c>
      <c r="I60" s="34" t="inlineStr">
        <is>
          <t>int_rate: 19.0</t>
        </is>
      </c>
      <c r="J60" s="34" t="inlineStr">
        <is>
          <t>purpose_major_purchase: 1.0</t>
        </is>
      </c>
      <c r="K60" s="34" t="inlineStr">
        <is>
          <t>inq_last_6mths: 1.0</t>
        </is>
      </c>
    </row>
    <row r="61">
      <c r="A61" s="34" t="n">
        <v>1023826</v>
      </c>
      <c r="B61" s="34" t="inlineStr">
        <is>
          <t>D</t>
        </is>
      </c>
      <c r="C61" s="32" t="n">
        <v>9000</v>
      </c>
      <c r="D61" s="31" t="n">
        <v>0.197</v>
      </c>
      <c r="E61" s="43" t="n">
        <v>25.98</v>
      </c>
      <c r="F61" s="31" t="n">
        <v>0.5008</v>
      </c>
      <c r="G61" s="34" t="n">
        <v>604</v>
      </c>
      <c r="H61" s="45" t="inlineStr">
        <is>
          <t>DECLINED</t>
        </is>
      </c>
      <c r="I61" s="34" t="inlineStr">
        <is>
          <t>int_rate: 19.7</t>
        </is>
      </c>
      <c r="J61" s="34" t="inlineStr">
        <is>
          <t>dti: 26.0</t>
        </is>
      </c>
      <c r="K61" s="34" t="inlineStr">
        <is>
          <t>loan_amnt: 9000.0</t>
        </is>
      </c>
    </row>
    <row r="62">
      <c r="A62" s="34" t="n">
        <v>1017926</v>
      </c>
      <c r="B62" s="34" t="inlineStr">
        <is>
          <t>D</t>
        </is>
      </c>
      <c r="C62" s="32" t="n">
        <v>4600</v>
      </c>
      <c r="D62" s="31" t="n">
        <v>0.2014</v>
      </c>
      <c r="E62" s="43" t="n">
        <v>16.1</v>
      </c>
      <c r="F62" s="31" t="n">
        <v>0.4887</v>
      </c>
      <c r="G62" s="34" t="n">
        <v>588</v>
      </c>
      <c r="H62" s="45" t="inlineStr">
        <is>
          <t>DECLINED</t>
        </is>
      </c>
      <c r="I62" s="34" t="inlineStr">
        <is>
          <t>int_rate: 20.1</t>
        </is>
      </c>
      <c r="J62" s="34" t="inlineStr">
        <is>
          <t>delinq_2yrs: 2.0</t>
        </is>
      </c>
      <c r="K62" s="34" t="inlineStr">
        <is>
          <t>home_ownership_RENT: 0.0</t>
        </is>
      </c>
    </row>
    <row r="63">
      <c r="A63" s="34" t="n">
        <v>1024619</v>
      </c>
      <c r="B63" s="34" t="inlineStr">
        <is>
          <t>B</t>
        </is>
      </c>
      <c r="C63" s="32" t="n">
        <v>29100</v>
      </c>
      <c r="D63" s="31" t="n">
        <v>0.09859999999999999</v>
      </c>
      <c r="E63" s="43" t="n">
        <v>9.359999999999999</v>
      </c>
      <c r="F63" s="31" t="n">
        <v>0.6633</v>
      </c>
      <c r="G63" s="34" t="n">
        <v>669</v>
      </c>
      <c r="H63" s="44" t="inlineStr">
        <is>
          <t>APPROVED</t>
        </is>
      </c>
      <c r="I63" s="34" t="inlineStr">
        <is>
          <t>revol_util: 66.3</t>
        </is>
      </c>
      <c r="J63" s="34" t="inlineStr">
        <is>
          <t>inq_last_6mths: 1.0</t>
        </is>
      </c>
      <c r="K63" s="34" t="inlineStr">
        <is>
          <t>purpose_home_improvement: 1.0</t>
        </is>
      </c>
    </row>
    <row r="64">
      <c r="A64" s="34" t="n">
        <v>1017419</v>
      </c>
      <c r="B64" s="34" t="inlineStr">
        <is>
          <t>C</t>
        </is>
      </c>
      <c r="C64" s="32" t="n">
        <v>10700</v>
      </c>
      <c r="D64" s="31" t="n">
        <v>0.139</v>
      </c>
      <c r="E64" s="43" t="n">
        <v>15.86</v>
      </c>
      <c r="F64" s="31" t="n">
        <v>0.3347</v>
      </c>
      <c r="G64" s="34" t="n">
        <v>574</v>
      </c>
      <c r="H64" s="45" t="inlineStr">
        <is>
          <t>DECLINED</t>
        </is>
      </c>
      <c r="I64" s="34" t="inlineStr">
        <is>
          <t>delinq_2yrs: 1.0</t>
        </is>
      </c>
      <c r="J64" s="34" t="inlineStr">
        <is>
          <t>purpose_vacation: 1.0</t>
        </is>
      </c>
      <c r="K64" s="34" t="inlineStr">
        <is>
          <t>inq_last_6mths: 2.0</t>
        </is>
      </c>
    </row>
    <row r="65">
      <c r="A65" s="34" t="n">
        <v>1015215</v>
      </c>
      <c r="B65" s="34" t="inlineStr">
        <is>
          <t>C</t>
        </is>
      </c>
      <c r="C65" s="32" t="n">
        <v>25400</v>
      </c>
      <c r="D65" s="31" t="n">
        <v>0.1515</v>
      </c>
      <c r="E65" s="43" t="n">
        <v>17.39</v>
      </c>
      <c r="F65" s="31" t="n">
        <v>0.4484</v>
      </c>
      <c r="G65" s="34" t="n">
        <v>644</v>
      </c>
      <c r="H65" s="44" t="inlineStr">
        <is>
          <t>APPROVED</t>
        </is>
      </c>
      <c r="I65" s="34" t="inlineStr">
        <is>
          <t>inq_last_6mths: 1.0</t>
        </is>
      </c>
      <c r="J65" s="34" t="inlineStr">
        <is>
          <t>home_ownership_RENT: 0.0</t>
        </is>
      </c>
      <c r="K65" s="34" t="inlineStr">
        <is>
          <t>purpose_medical: 0.0</t>
        </is>
      </c>
    </row>
    <row r="66">
      <c r="A66" s="34" t="n">
        <v>1004114</v>
      </c>
      <c r="B66" s="34" t="inlineStr">
        <is>
          <t>A</t>
        </is>
      </c>
      <c r="C66" s="32" t="n">
        <v>11400</v>
      </c>
      <c r="D66" s="31" t="n">
        <v>0.0607</v>
      </c>
      <c r="E66" s="43" t="n">
        <v>17.36</v>
      </c>
      <c r="F66" s="31" t="n">
        <v>0.352</v>
      </c>
      <c r="G66" s="34" t="n">
        <v>714</v>
      </c>
      <c r="H66" s="44" t="inlineStr">
        <is>
          <t>APPROVED</t>
        </is>
      </c>
      <c r="I66" s="34" t="inlineStr">
        <is>
          <t>loan_amnt: 11400.0</t>
        </is>
      </c>
      <c r="J66" s="34" t="inlineStr">
        <is>
          <t>home_ownership_RENT: 0.0</t>
        </is>
      </c>
      <c r="K66" s="34" t="inlineStr">
        <is>
          <t>purpose_medical: 0.0</t>
        </is>
      </c>
    </row>
    <row r="67">
      <c r="A67" s="34" t="n">
        <v>1004168</v>
      </c>
      <c r="B67" s="34" t="inlineStr">
        <is>
          <t>A</t>
        </is>
      </c>
      <c r="C67" s="32" t="n">
        <v>8100</v>
      </c>
      <c r="D67" s="31" t="n">
        <v>0.0848</v>
      </c>
      <c r="E67" s="43" t="n">
        <v>14.2</v>
      </c>
      <c r="F67" s="31" t="n">
        <v>0.4587</v>
      </c>
      <c r="G67" s="34" t="n">
        <v>688</v>
      </c>
      <c r="H67" s="44" t="inlineStr">
        <is>
          <t>APPROVED</t>
        </is>
      </c>
      <c r="I67" s="34" t="inlineStr">
        <is>
          <t>delinq_2yrs: 1.0</t>
        </is>
      </c>
      <c r="J67" s="34" t="inlineStr">
        <is>
          <t>inq_last_6mths: 1.0</t>
        </is>
      </c>
      <c r="K67" s="34" t="inlineStr">
        <is>
          <t>loan_amnt: 8100.0</t>
        </is>
      </c>
    </row>
    <row r="68">
      <c r="A68" s="34" t="n">
        <v>1013167</v>
      </c>
      <c r="B68" s="34" t="inlineStr">
        <is>
          <t>B</t>
        </is>
      </c>
      <c r="C68" s="32" t="n">
        <v>18200</v>
      </c>
      <c r="D68" s="31" t="n">
        <v>0.1128</v>
      </c>
      <c r="E68" s="43" t="n">
        <v>6.66</v>
      </c>
      <c r="F68" s="31" t="n">
        <v>0.5659000000000001</v>
      </c>
      <c r="G68" s="34" t="n">
        <v>652</v>
      </c>
      <c r="H68" s="44" t="inlineStr">
        <is>
          <t>APPROVED</t>
        </is>
      </c>
      <c r="I68" s="34" t="inlineStr">
        <is>
          <t>inq_last_6mths: 1.0</t>
        </is>
      </c>
      <c r="J68" s="34" t="inlineStr">
        <is>
          <t>home_ownership_RENT: 0.0</t>
        </is>
      </c>
      <c r="K68" s="34" t="inlineStr">
        <is>
          <t>annual_inc: 49900.0</t>
        </is>
      </c>
    </row>
    <row r="69">
      <c r="A69" s="34" t="n">
        <v>1003161</v>
      </c>
      <c r="B69" s="34" t="inlineStr">
        <is>
          <t>B</t>
        </is>
      </c>
      <c r="C69" s="32" t="n">
        <v>9700</v>
      </c>
      <c r="D69" s="31" t="n">
        <v>0.1144</v>
      </c>
      <c r="E69" s="43" t="n">
        <v>12.72</v>
      </c>
      <c r="F69" s="31" t="n">
        <v>0.5453</v>
      </c>
      <c r="G69" s="34" t="n">
        <v>656</v>
      </c>
      <c r="H69" s="44" t="inlineStr">
        <is>
          <t>APPROVED</t>
        </is>
      </c>
      <c r="I69" s="34" t="inlineStr">
        <is>
          <t>home_ownership_RENT: 0.0</t>
        </is>
      </c>
      <c r="J69" s="34" t="inlineStr">
        <is>
          <t>loan_amnt: 9700.0</t>
        </is>
      </c>
      <c r="K69" s="34" t="inlineStr">
        <is>
          <t>annual_inc: 34100.0</t>
        </is>
      </c>
    </row>
    <row r="70">
      <c r="A70" s="34" t="n">
        <v>1013331</v>
      </c>
      <c r="B70" s="34" t="inlineStr">
        <is>
          <t>B</t>
        </is>
      </c>
      <c r="C70" s="32" t="n">
        <v>10300</v>
      </c>
      <c r="D70" s="31" t="n">
        <v>0.1234</v>
      </c>
      <c r="E70" s="43" t="n">
        <v>13.68</v>
      </c>
      <c r="F70" s="31" t="n">
        <v>0.1813</v>
      </c>
      <c r="G70" s="34" t="n">
        <v>675</v>
      </c>
      <c r="H70" s="44" t="inlineStr">
        <is>
          <t>APPROVED</t>
        </is>
      </c>
      <c r="I70" s="34" t="inlineStr">
        <is>
          <t>loan_amnt: 10300.0</t>
        </is>
      </c>
      <c r="J70" s="34" t="inlineStr">
        <is>
          <t>annual_inc: 82300.0</t>
        </is>
      </c>
      <c r="K70" s="34" t="inlineStr">
        <is>
          <t>purpose_medical: 0.0</t>
        </is>
      </c>
    </row>
    <row r="71">
      <c r="A71" s="34" t="n">
        <v>1004480</v>
      </c>
      <c r="B71" s="34" t="inlineStr">
        <is>
          <t>C</t>
        </is>
      </c>
      <c r="C71" s="32" t="n">
        <v>19200</v>
      </c>
      <c r="D71" s="31" t="n">
        <v>0.163</v>
      </c>
      <c r="E71" s="43" t="n">
        <v>10.87</v>
      </c>
      <c r="F71" s="31" t="n">
        <v>0.5941</v>
      </c>
      <c r="G71" s="34" t="n">
        <v>626</v>
      </c>
      <c r="H71" s="45" t="inlineStr">
        <is>
          <t>DECLINED</t>
        </is>
      </c>
      <c r="I71" s="34" t="inlineStr">
        <is>
          <t>revol_util: 59.4</t>
        </is>
      </c>
      <c r="J71" s="34" t="inlineStr">
        <is>
          <t>home_ownership_RENT: 0.0</t>
        </is>
      </c>
      <c r="K71" s="34" t="inlineStr">
        <is>
          <t>open_acc: 15.0</t>
        </is>
      </c>
    </row>
    <row r="72">
      <c r="A72" s="34" t="n">
        <v>1010380</v>
      </c>
      <c r="B72" s="34" t="inlineStr">
        <is>
          <t>D</t>
        </is>
      </c>
      <c r="C72" s="32" t="n">
        <v>11900</v>
      </c>
      <c r="D72" s="31" t="n">
        <v>0.1935</v>
      </c>
      <c r="E72" s="43" t="n">
        <v>12.29</v>
      </c>
      <c r="F72" s="31" t="n">
        <v>0.4151</v>
      </c>
      <c r="G72" s="34" t="n">
        <v>610</v>
      </c>
      <c r="H72" s="45" t="inlineStr">
        <is>
          <t>DECLINED</t>
        </is>
      </c>
      <c r="I72" s="34" t="inlineStr">
        <is>
          <t>int_rate: 19.4</t>
        </is>
      </c>
      <c r="J72" s="34" t="inlineStr">
        <is>
          <t>inq_last_6mths: 1.0</t>
        </is>
      </c>
      <c r="K72" s="34" t="inlineStr">
        <is>
          <t>loan_amnt: 11900.0</t>
        </is>
      </c>
    </row>
    <row r="73">
      <c r="A73" s="34" t="n">
        <v>1010645</v>
      </c>
      <c r="B73" s="34" t="inlineStr">
        <is>
          <t>B</t>
        </is>
      </c>
      <c r="C73" s="32" t="n">
        <v>9700</v>
      </c>
      <c r="D73" s="31" t="n">
        <v>0.1161</v>
      </c>
      <c r="E73" s="43" t="n">
        <v>15.32</v>
      </c>
      <c r="F73" s="31" t="n">
        <v>0.4844</v>
      </c>
      <c r="G73" s="34" t="n">
        <v>652</v>
      </c>
      <c r="H73" s="44" t="inlineStr">
        <is>
          <t>APPROVED</t>
        </is>
      </c>
      <c r="I73" s="34" t="inlineStr">
        <is>
          <t>annual_inc: 42900.0</t>
        </is>
      </c>
      <c r="J73" s="34" t="inlineStr">
        <is>
          <t>home_ownership_RENT: 0.0</t>
        </is>
      </c>
      <c r="K73" s="34" t="inlineStr">
        <is>
          <t>loan_amnt: 9700.0</t>
        </is>
      </c>
    </row>
    <row r="74">
      <c r="A74" s="34" t="n">
        <v>1024310</v>
      </c>
      <c r="B74" s="34" t="inlineStr">
        <is>
          <t>B</t>
        </is>
      </c>
      <c r="C74" s="32" t="n">
        <v>3700</v>
      </c>
      <c r="D74" s="31" t="n">
        <v>0.1032</v>
      </c>
      <c r="E74" s="43" t="n">
        <v>11.45</v>
      </c>
      <c r="F74" s="31" t="n">
        <v>0.2338</v>
      </c>
      <c r="G74" s="34" t="n">
        <v>690</v>
      </c>
      <c r="H74" s="44" t="inlineStr">
        <is>
          <t>APPROVED</t>
        </is>
      </c>
      <c r="I74" s="34" t="inlineStr">
        <is>
          <t>purpose_medical: 0.0</t>
        </is>
      </c>
      <c r="J74" s="34" t="inlineStr">
        <is>
          <t>purpose_debt_consolidation: 1.0</t>
        </is>
      </c>
      <c r="K74" s="34" t="inlineStr">
        <is>
          <t>verification_status_Verified: 0.0</t>
        </is>
      </c>
    </row>
    <row r="75">
      <c r="A75" s="34" t="n">
        <v>1019931</v>
      </c>
      <c r="B75" s="34" t="inlineStr">
        <is>
          <t>B</t>
        </is>
      </c>
      <c r="C75" s="32" t="n">
        <v>7400</v>
      </c>
      <c r="D75" s="31" t="n">
        <v>0.1177</v>
      </c>
      <c r="E75" s="43" t="n">
        <v>19.01</v>
      </c>
      <c r="F75" s="31" t="n">
        <v>0.3877</v>
      </c>
      <c r="G75" s="34" t="n">
        <v>656</v>
      </c>
      <c r="H75" s="44" t="inlineStr">
        <is>
          <t>APPROVED</t>
        </is>
      </c>
      <c r="I75" s="34" t="inlineStr">
        <is>
          <t>loan_amnt: 7400.0</t>
        </is>
      </c>
      <c r="J75" s="34" t="inlineStr">
        <is>
          <t>home_ownership_RENT: 0.0</t>
        </is>
      </c>
      <c r="K75" s="34" t="inlineStr">
        <is>
          <t>annual_inc: 350000.0</t>
        </is>
      </c>
    </row>
    <row r="76">
      <c r="A76" s="34" t="n">
        <v>1000657</v>
      </c>
      <c r="B76" s="34" t="inlineStr">
        <is>
          <t>B</t>
        </is>
      </c>
      <c r="C76" s="32" t="n">
        <v>7400</v>
      </c>
      <c r="D76" s="31" t="n">
        <v>0.1237</v>
      </c>
      <c r="E76" s="43" t="n">
        <v>20.45</v>
      </c>
      <c r="F76" s="31" t="n">
        <v>0.24</v>
      </c>
      <c r="G76" s="34" t="n">
        <v>648</v>
      </c>
      <c r="H76" s="44" t="inlineStr">
        <is>
          <t>APPROVED</t>
        </is>
      </c>
      <c r="I76" s="34" t="inlineStr">
        <is>
          <t>inq_last_6mths: 2.0</t>
        </is>
      </c>
      <c r="J76" s="34" t="inlineStr">
        <is>
          <t>loan_amnt: 7400.0</t>
        </is>
      </c>
      <c r="K76" s="34" t="inlineStr">
        <is>
          <t>dti: 20.4</t>
        </is>
      </c>
    </row>
    <row r="77">
      <c r="A77" s="34" t="n">
        <v>1004558</v>
      </c>
      <c r="B77" s="34" t="inlineStr">
        <is>
          <t>C</t>
        </is>
      </c>
      <c r="C77" s="32" t="n">
        <v>22800</v>
      </c>
      <c r="D77" s="31" t="n">
        <v>0.1481</v>
      </c>
      <c r="E77" s="43" t="n">
        <v>23.42</v>
      </c>
      <c r="F77" s="31" t="n">
        <v>0.8015000000000001</v>
      </c>
      <c r="G77" s="34" t="n">
        <v>552</v>
      </c>
      <c r="H77" s="45" t="inlineStr">
        <is>
          <t>DECLINED</t>
        </is>
      </c>
      <c r="I77" s="34" t="inlineStr">
        <is>
          <t>revol_util: 80.2</t>
        </is>
      </c>
      <c r="J77" s="34" t="inlineStr">
        <is>
          <t>delinq_2yrs: 2.0</t>
        </is>
      </c>
      <c r="K77" s="34" t="inlineStr">
        <is>
          <t>dti: 23.4</t>
        </is>
      </c>
    </row>
    <row r="78">
      <c r="A78" s="34" t="n">
        <v>1024874</v>
      </c>
      <c r="B78" s="34" t="inlineStr">
        <is>
          <t>B</t>
        </is>
      </c>
      <c r="C78" s="32" t="n">
        <v>16400</v>
      </c>
      <c r="D78" s="31" t="n">
        <v>0.1259</v>
      </c>
      <c r="E78" s="43" t="n">
        <v>25.13</v>
      </c>
      <c r="F78" s="31" t="n">
        <v>0.3223</v>
      </c>
      <c r="G78" s="34" t="n">
        <v>641</v>
      </c>
      <c r="H78" s="44" t="inlineStr">
        <is>
          <t>APPROVED</t>
        </is>
      </c>
      <c r="I78" s="34" t="inlineStr">
        <is>
          <t>dti: 25.1</t>
        </is>
      </c>
      <c r="J78" s="34" t="inlineStr">
        <is>
          <t>inq_last_6mths: 1.0</t>
        </is>
      </c>
      <c r="K78" s="34" t="inlineStr">
        <is>
          <t>open_acc: 14.0</t>
        </is>
      </c>
    </row>
    <row r="79">
      <c r="A79" s="34" t="n">
        <v>1001901</v>
      </c>
      <c r="B79" s="34" t="inlineStr">
        <is>
          <t>C</t>
        </is>
      </c>
      <c r="C79" s="32" t="n">
        <v>14300</v>
      </c>
      <c r="D79" s="31" t="n">
        <v>0.1676</v>
      </c>
      <c r="E79" s="43" t="n">
        <v>22.12</v>
      </c>
      <c r="F79" s="31" t="n">
        <v>0.4342</v>
      </c>
      <c r="G79" s="34" t="n">
        <v>600</v>
      </c>
      <c r="H79" s="45" t="inlineStr">
        <is>
          <t>DECLINED</t>
        </is>
      </c>
      <c r="I79" s="34" t="inlineStr">
        <is>
          <t>inq_last_6mths: 3.0</t>
        </is>
      </c>
      <c r="J79" s="34" t="inlineStr">
        <is>
          <t>dti: 22.1</t>
        </is>
      </c>
      <c r="K79" s="34" t="inlineStr">
        <is>
          <t>annual_inc: 176400.0</t>
        </is>
      </c>
    </row>
    <row r="80">
      <c r="A80" s="34" t="n">
        <v>1009196</v>
      </c>
      <c r="B80" s="34" t="inlineStr">
        <is>
          <t>A</t>
        </is>
      </c>
      <c r="C80" s="32" t="n">
        <v>12400</v>
      </c>
      <c r="D80" s="31" t="n">
        <v>0.0849</v>
      </c>
      <c r="E80" s="43" t="n">
        <v>20.78</v>
      </c>
      <c r="F80" s="31" t="n">
        <v>0.1704</v>
      </c>
      <c r="G80" s="34" t="n">
        <v>701</v>
      </c>
      <c r="H80" s="44" t="inlineStr">
        <is>
          <t>APPROVED</t>
        </is>
      </c>
      <c r="I80" s="34" t="inlineStr">
        <is>
          <t>inq_last_6mths: 2.0</t>
        </is>
      </c>
      <c r="J80" s="34" t="inlineStr">
        <is>
          <t>loan_amnt: 12400.0</t>
        </is>
      </c>
      <c r="K80" s="34" t="inlineStr">
        <is>
          <t>dti: 20.8</t>
        </is>
      </c>
    </row>
    <row r="81">
      <c r="A81" s="34" t="n">
        <v>1014603</v>
      </c>
      <c r="B81" s="34" t="inlineStr">
        <is>
          <t>A</t>
        </is>
      </c>
      <c r="C81" s="32" t="n">
        <v>10900</v>
      </c>
      <c r="D81" s="31" t="n">
        <v>0.0762</v>
      </c>
      <c r="E81" s="43" t="n">
        <v>9.279999999999999</v>
      </c>
      <c r="F81" s="31" t="n">
        <v>0.4435</v>
      </c>
      <c r="G81" s="34" t="n">
        <v>713</v>
      </c>
      <c r="H81" s="44" t="inlineStr">
        <is>
          <t>APPROVED</t>
        </is>
      </c>
      <c r="I81" s="34" t="inlineStr">
        <is>
          <t>delinq_2yrs: 2.0</t>
        </is>
      </c>
      <c r="J81" s="34" t="inlineStr">
        <is>
          <t>loan_amnt: 10900.0</t>
        </is>
      </c>
      <c r="K81" s="34" t="inlineStr">
        <is>
          <t>home_ownership_RENT: 0.0</t>
        </is>
      </c>
    </row>
    <row r="82">
      <c r="A82" s="34" t="n">
        <v>1001300</v>
      </c>
      <c r="B82" s="34" t="inlineStr">
        <is>
          <t>C</t>
        </is>
      </c>
      <c r="C82" s="32" t="n">
        <v>10700</v>
      </c>
      <c r="D82" s="31" t="n">
        <v>0.1484</v>
      </c>
      <c r="E82" s="43" t="n">
        <v>17.76</v>
      </c>
      <c r="F82" s="31" t="n">
        <v>0.6161</v>
      </c>
      <c r="G82" s="34" t="n">
        <v>629</v>
      </c>
      <c r="H82" s="45" t="inlineStr">
        <is>
          <t>DECLINED</t>
        </is>
      </c>
      <c r="I82" s="34" t="inlineStr">
        <is>
          <t>revol_util: 61.6</t>
        </is>
      </c>
      <c r="J82" s="34" t="inlineStr">
        <is>
          <t>home_ownership_RENT: 0.0</t>
        </is>
      </c>
      <c r="K82" s="34" t="inlineStr">
        <is>
          <t>loan_amnt: 10700.0</t>
        </is>
      </c>
    </row>
    <row r="83">
      <c r="A83" s="34" t="n">
        <v>1024159</v>
      </c>
      <c r="B83" s="34" t="inlineStr">
        <is>
          <t>E</t>
        </is>
      </c>
      <c r="C83" s="32" t="n">
        <v>16100</v>
      </c>
      <c r="D83" s="31" t="n">
        <v>0.2496</v>
      </c>
      <c r="E83" s="43" t="n">
        <v>19.73</v>
      </c>
      <c r="F83" s="31" t="n">
        <v>0.7494</v>
      </c>
      <c r="G83" s="34" t="n">
        <v>530</v>
      </c>
      <c r="H83" s="45" t="inlineStr">
        <is>
          <t>DECLINED</t>
        </is>
      </c>
      <c r="I83" s="34" t="inlineStr">
        <is>
          <t>int_rate: 25.0</t>
        </is>
      </c>
      <c r="J83" s="34" t="inlineStr">
        <is>
          <t>revol_util: 74.9</t>
        </is>
      </c>
      <c r="K83" s="34" t="inlineStr">
        <is>
          <t>inq_last_6mths: 2.0</t>
        </is>
      </c>
    </row>
    <row r="84">
      <c r="A84" s="34" t="n">
        <v>1000808</v>
      </c>
      <c r="B84" s="34" t="inlineStr">
        <is>
          <t>E</t>
        </is>
      </c>
      <c r="C84" s="32" t="n">
        <v>9600</v>
      </c>
      <c r="D84" s="31" t="n">
        <v>0.2363</v>
      </c>
      <c r="E84" s="43" t="n">
        <v>9.57</v>
      </c>
      <c r="F84" s="31" t="n">
        <v>0.5318999999999999</v>
      </c>
      <c r="G84" s="34" t="n">
        <v>544</v>
      </c>
      <c r="H84" s="45" t="inlineStr">
        <is>
          <t>DECLINED</t>
        </is>
      </c>
      <c r="I84" s="34" t="inlineStr">
        <is>
          <t>int_rate: 23.6</t>
        </is>
      </c>
      <c r="J84" s="34" t="inlineStr">
        <is>
          <t>delinq_2yrs: 3.0</t>
        </is>
      </c>
      <c r="K84" s="34" t="inlineStr">
        <is>
          <t>loan_amnt: 9600.0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2026-10-26T08:48:02Z</dcterms:created>
  <dcterms:modified xmlns:dcterms="http://purl.org/dc/terms/" xmlns:xsi="http://www.w3.org/2001/XMLSchema-instance" xsi:type="dcterms:W3CDTF">2026-10-26T08:48:03Z</dcterms:modified>
</cp:coreProperties>
</file>